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ilma\Downloads\Projetos Bootcamp Santander\"/>
    </mc:Choice>
  </mc:AlternateContent>
  <xr:revisionPtr revIDLastSave="0" documentId="13_ncr:1_{A9729944-5A5B-4C1D-8505-70ECAEAB3258}" xr6:coauthVersionLast="47" xr6:coauthVersionMax="47" xr10:uidLastSave="{00000000-0000-0000-0000-000000000000}"/>
  <bookViews>
    <workbookView xWindow="-108" yWindow="-108" windowWidth="23256" windowHeight="1245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3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3" l="1"/>
  <c r="G51" i="3"/>
</calcChain>
</file>

<file path=xl/sharedStrings.xml><?xml version="1.0" encoding="utf-8"?>
<sst xmlns="http://schemas.openxmlformats.org/spreadsheetml/2006/main" count="2033" uniqueCount="326">
  <si>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</si>
  <si>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</si>
  <si>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</si>
  <si>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</si>
  <si>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</si>
  <si>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</si>
  <si>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</si>
  <si>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</si>
  <si>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</si>
  <si>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</si>
  <si>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</si>
  <si>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</si>
  <si>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</si>
  <si>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</si>
  <si>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</si>
  <si>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</si>
  <si>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</si>
  <si>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</si>
  <si>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</si>
  <si>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</si>
  <si>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</si>
  <si>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</si>
  <si>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</si>
  <si>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</si>
  <si>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</si>
  <si>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</si>
  <si>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</si>
  <si>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</si>
  <si>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</si>
  <si>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</si>
  <si>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</si>
  <si>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</si>
  <si>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</si>
  <si>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</si>
  <si>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</si>
  <si>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</si>
  <si>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</si>
  <si>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</si>
  <si>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</si>
  <si>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</si>
  <si>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</si>
  <si>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</si>
  <si>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</si>
  <si>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</si>
  <si>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</si>
  <si>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</si>
  <si>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</si>
  <si>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</si>
  <si>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</si>
  <si>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</si>
  <si>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</si>
  <si>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</si>
  <si>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</si>
  <si>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</si>
  <si>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</si>
  <si>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</si>
  <si>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</si>
  <si>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</si>
  <si>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</si>
  <si>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</si>
  <si>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</si>
  <si>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</si>
  <si>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</si>
  <si>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</si>
  <si>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</si>
  <si>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</si>
  <si>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</si>
  <si>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</si>
  <si>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</si>
  <si>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</si>
  <si>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</si>
  <si>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</si>
  <si>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</si>
  <si>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</si>
  <si>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</si>
  <si>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</si>
  <si>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</si>
  <si>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</si>
  <si>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</si>
  <si>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</si>
  <si>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</si>
  <si>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</si>
  <si>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</si>
  <si>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</si>
  <si>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</si>
  <si>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</si>
  <si>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</si>
  <si>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</si>
  <si>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</si>
  <si>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</si>
  <si>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</si>
  <si>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</si>
  <si>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</si>
  <si>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</si>
  <si>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</si>
  <si>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</si>
  <si>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</si>
  <si>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</si>
  <si>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</si>
  <si>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</si>
  <si>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</si>
  <si>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</si>
  <si>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</si>
  <si>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</si>
  <si>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</si>
  <si>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</si>
  <si>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</si>
  <si>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</si>
  <si>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</si>
  <si>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</si>
  <si>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</si>
  <si>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</si>
  <si>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</si>
  <si>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</si>
  <si>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</si>
  <si>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</si>
  <si>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</si>
  <si>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</si>
  <si>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</si>
  <si>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</si>
  <si>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</si>
  <si>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</si>
  <si>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</si>
  <si>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</si>
  <si>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</si>
  <si>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</si>
  <si>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</si>
  <si>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</si>
  <si>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</si>
  <si>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</si>
  <si>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</si>
  <si>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</si>
  <si>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</si>
  <si>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</si>
  <si>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</si>
  <si>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</si>
  <si>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</si>
  <si>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</si>
  <si>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</si>
  <si>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</si>
  <si>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</si>
  <si>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</si>
  <si>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</si>
  <si>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</si>
  <si>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</si>
  <si>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</si>
  <si>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</si>
  <si>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</si>
  <si>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</si>
  <si>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</si>
  <si>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</si>
  <si>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</si>
  <si>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</si>
  <si>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</si>
  <si>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</si>
  <si>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</si>
  <si>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</si>
  <si>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</si>
  <si>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</si>
  <si>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</si>
  <si>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</si>
  <si>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</si>
  <si>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</si>
  <si>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</si>
  <si>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</si>
  <si>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</si>
  <si>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</si>
  <si>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</si>
  <si>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</si>
  <si>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</si>
  <si>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</si>
  <si>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</si>
  <si>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</si>
  <si>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</si>
  <si>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</si>
  <si>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</si>
  <si>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</si>
  <si>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</si>
  <si>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</si>
  <si>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</si>
  <si>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</si>
  <si>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</si>
  <si>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</si>
  <si>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</si>
  <si>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</si>
  <si>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</si>
  <si>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</si>
  <si>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</si>
  <si>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</si>
  <si>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</si>
  <si>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</si>
  <si>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</si>
  <si>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</si>
  <si>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</si>
  <si>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</si>
  <si>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</si>
  <si>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</si>
  <si>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</si>
  <si>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</si>
  <si>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</si>
  <si>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</si>
  <si>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</si>
  <si>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</si>
  <si>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</si>
  <si>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</si>
  <si>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</si>
  <si>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</si>
  <si>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</si>
  <si>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</si>
  <si>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</si>
  <si>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</si>
  <si>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</si>
  <si>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</si>
  <si>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</si>
  <si>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</si>
  <si>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</si>
  <si>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</si>
  <si>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</si>
  <si>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</si>
  <si>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</si>
  <si>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</si>
  <si>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</si>
  <si>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</si>
  <si>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</si>
  <si>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</si>
  <si>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</si>
  <si>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</si>
  <si>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</si>
  <si>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</si>
  <si>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</si>
  <si>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</si>
  <si>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</si>
  <si>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</si>
  <si>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</si>
  <si>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</si>
  <si>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</si>
  <si>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</si>
  <si>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</si>
  <si>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</si>
  <si>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</si>
  <si>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</si>
  <si>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</si>
  <si>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</si>
  <si>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</si>
  <si>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</si>
  <si>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</si>
  <si>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</si>
  <si>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</si>
  <si>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</si>
  <si>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</si>
  <si>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</si>
  <si>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</si>
  <si>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</si>
  <si>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</si>
  <si>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</si>
  <si>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</si>
  <si>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</si>
  <si>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</si>
  <si>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</si>
  <si>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</si>
  <si>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</si>
  <si>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</si>
  <si>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</si>
  <si>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</si>
  <si>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</si>
  <si>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</si>
  <si>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</si>
  <si>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</si>
  <si>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</si>
  <si>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</si>
  <si>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</si>
  <si>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</si>
  <si>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</si>
  <si>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</si>
  <si>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</si>
  <si>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</si>
  <si>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</si>
  <si>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</si>
  <si>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</si>
  <si>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</si>
  <si>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</si>
  <si>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</si>
  <si>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</si>
  <si>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</si>
  <si>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</si>
  <si>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</si>
  <si>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</si>
  <si>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</si>
  <si>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</si>
  <si>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</si>
  <si>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</si>
  <si>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</si>
  <si>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</si>
  <si>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</si>
  <si>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</si>
  <si>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</si>
  <si>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</si>
  <si>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</si>
  <si>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</si>
  <si>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</si>
  <si>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</si>
  <si>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</si>
  <si>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</si>
  <si>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</si>
  <si>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</si>
  <si>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</si>
  <si>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</si>
  <si>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</si>
  <si>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</si>
  <si>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</si>
  <si>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</si>
  <si>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</si>
  <si>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</si>
  <si>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específica</t>
  </si>
  <si>
    <t>Rótulos de Linha</t>
  </si>
  <si>
    <t>Total Geral</t>
  </si>
  <si>
    <t>Soma de Total Value</t>
  </si>
  <si>
    <t>(Tudo)</t>
  </si>
  <si>
    <r>
      <t>Pergunta 02 - Qual faturamento t</t>
    </r>
    <r>
      <rPr>
        <b/>
        <sz val="11"/>
        <color theme="1"/>
        <rFont val="Aptos Narrow"/>
        <family val="2"/>
        <scheme val="minor"/>
      </rPr>
      <t xml:space="preserve">otal de vendas de planos anuais, </t>
    </r>
    <r>
      <rPr>
        <sz val="11"/>
        <color theme="1"/>
        <rFont val="Aptos Narrow"/>
        <family val="2"/>
        <scheme val="minor"/>
      </rPr>
      <t>separado por renovação e não por auto renovação</t>
    </r>
  </si>
  <si>
    <r>
      <t xml:space="preserve">Pergunta 01 - Qual é o faturamento </t>
    </r>
    <r>
      <rPr>
        <b/>
        <sz val="11"/>
        <color theme="1"/>
        <rFont val="Aptos Narrow"/>
        <family val="2"/>
        <scheme val="minor"/>
      </rPr>
      <t xml:space="preserve">Total de vendas de planos anuais </t>
    </r>
    <r>
      <rPr>
        <sz val="11"/>
        <color theme="1"/>
        <rFont val="Aptos Narrow"/>
        <family val="2"/>
        <scheme val="minor"/>
      </rPr>
      <t>(contendo todas as assinaturas agregadas)?</t>
    </r>
  </si>
  <si>
    <t>Rótulos de Coluna</t>
  </si>
  <si>
    <t>Pergunta 03  - Total de vendas de Assinaturas do EA Play</t>
  </si>
  <si>
    <t>Soma de EA Play Season Pass</t>
  </si>
  <si>
    <t>Pergunta 04  - Total de assinaturas do Minecraft Season Pass</t>
  </si>
  <si>
    <t>Soma de Minecraft Season Pass Price</t>
  </si>
  <si>
    <t>XBOXGAME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</si>
</sst>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22C55E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AE6B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44" fontId="0" fillId="0" borderId="0" xfId="2" applyFont="1"/>
    <xf numFmtId="0" fontId="0" fillId="5" borderId="0" xfId="0" applyFill="1" applyAlignment="1">
      <alignment horizontal="left"/>
    </xf>
    <xf numFmtId="0" fontId="0" fillId="8" borderId="0" xfId="0" applyFill="1"/>
    <xf numFmtId="0" fontId="0" fillId="9" borderId="0" xfId="0" applyFill="1" applyAlignment="1">
      <alignment horizontal="left"/>
    </xf>
    <xf numFmtId="0" fontId="4" fillId="9" borderId="2" xfId="0" applyFont="1" applyFill="1" applyBorder="1" applyAlignment="1">
      <alignment horizontal="left" indent="5"/>
    </xf>
    <xf numFmtId="0" fontId="0" fillId="9" borderId="0" xfId="0" applyFill="1"/>
  </cellXfs>
  <cellStyles count="3">
    <cellStyle name="Moeda" xfId="2" builtinId="4"/>
    <cellStyle name="Normal" xfId="0" builtinId="0"/>
    <cellStyle name="Título 1" xfId="1" builtinId="16"/>
  </cellStyles>
  <dxfs count="18">
    <dxf>
      <font>
        <b/>
        <i val="0"/>
        <sz val="12"/>
      </font>
      <fill>
        <gradientFill degree="90">
          <stop position="0">
            <color rgb="FF2AE6B1"/>
          </stop>
          <stop position="1">
            <color auto="1"/>
          </stop>
        </gradientFill>
      </fill>
    </dxf>
    <dxf>
      <font>
        <color theme="1"/>
      </font>
      <fill>
        <patternFill patternType="solid">
          <fgColor rgb="FF2AE6B1"/>
          <bgColor rgb="FF2AE6B1"/>
        </patternFill>
      </fill>
    </dxf>
    <dxf>
      <font>
        <b/>
        <i val="0"/>
        <sz val="12"/>
        <color theme="1" tint="0.499984740745262"/>
      </font>
      <fill>
        <gradientFill degree="90">
          <stop position="0">
            <color theme="0"/>
          </stop>
          <stop position="1">
            <color rgb="FF2AE6B1"/>
          </stop>
        </gradientFill>
      </fill>
    </dxf>
    <dxf>
      <font>
        <b/>
        <i val="0"/>
        <sz val="12"/>
        <color rgb="FF2AE6B1"/>
      </font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3" defaultTableStyle="TableStyleMedium2" defaultPivotStyle="PivotStyleLight16">
    <tableStyle name="Estilo de Segmentação de Dados 1" pivot="0" table="0" count="1" xr9:uid="{3C36605E-51E9-465D-898F-A6207400CC01}">
      <tableStyleElement type="wholeTable" dxfId="3"/>
    </tableStyle>
    <tableStyle name="Estilo de Segmentação de Dados 2" pivot="0" table="0" count="1" xr9:uid="{A5963643-27EE-4282-8D66-D30739341BC3}">
      <tableStyleElement type="headerRow" dxfId="2"/>
    </tableStyle>
    <tableStyle name="Estilo de Segmentação de Dados 3" pivot="0" table="0" count="8" xr9:uid="{73E1AF79-E6C1-442F-A481-87E9CBAA065B}">
      <tableStyleElement type="wholeTable" dxfId="1"/>
      <tableStyleElement type="headerRow" dxfId="0"/>
    </tableStyle>
  </tableStyles>
  <colors>
    <mruColors>
      <color rgb="FF000000"/>
      <color rgb="FF22C55E"/>
      <color rgb="FF2AE6B1"/>
      <color rgb="FF99FF66"/>
      <color rgb="FF9BC848"/>
      <color rgb="FFE8E6E9"/>
      <color rgb="FF5BF6A8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6">
        <dxf>
          <fill>
            <patternFill patternType="solid">
              <fgColor rgb="FF2AE6B1"/>
              <bgColor auto="1"/>
            </patternFill>
          </fill>
        </dxf>
        <dxf>
          <fill>
            <patternFill patternType="solid">
              <fgColor rgb="FF2AE6B1"/>
              <bgColor auto="1"/>
            </patternFill>
          </fill>
        </dxf>
        <dxf>
          <font>
            <sz val="12"/>
            <color theme="1"/>
          </font>
          <fill>
            <patternFill patternType="none">
              <fgColor auto="1"/>
              <bgColor auto="1"/>
            </patternFill>
          </fill>
        </dxf>
        <dxf>
          <font>
            <sz val="12"/>
          </font>
          <fill>
            <gradientFill degree="90">
              <stop position="0">
                <color theme="0"/>
              </stop>
              <stop position="1">
                <color rgb="FF2AE6B1"/>
              </stop>
            </gradient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 patternType="none">
              <fgColor auto="1"/>
              <bgColor auto="1"/>
            </patternFill>
          </fill>
        </dxf>
        <dxf>
          <fill>
            <patternFill patternType="none">
              <fgColor auto="1"/>
              <bgColor auto="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Estilo de Segmentação de Dados 3">
          <x14:slicerStyleElements>
            <x14:slicerStyleElement type="unselectedItemWithData" dxfId="5"/>
            <x14:slicerStyleElement type="unselectedItemWithNoData" dxfId="4"/>
            <x14:slicerStyleElement type="selectedItemWithData" dxfId="3"/>
            <x14:slicerStyleElement type="selectedItemWithNo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[BD_XBOX.xlsx]C̳álculos!Tabela dinâmica1</c:name>
    <c:fmtId val="4"/>
  </c:pivotSource>
  <c:chart>
    <c:autoTitleDeleted val="0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&quot;R$&quot;* #,##0.00_);_(&quot;R$&quot;* \(#,##0.00\);_(&quot;R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&quot;R$&quot;* #,##0.00_);_(&quot;R$&quot;* \(#,##0.00\);_(&quot;R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_(&quot;R$&quot;* #,##0.00_);_(&quot;R$&quot;* \(#,##0.00\);_(&quot;R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2650187218991676E-2"/>
          <c:y val="5.3372149442018436E-2"/>
          <c:w val="0.70022060900395777"/>
          <c:h val="0.893255701115963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C̳álculos!$D$9:$D$10</c:f>
              <c:strCache>
                <c:ptCount val="1"/>
                <c:pt idx="0">
                  <c:v>Annual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C̳álculos!$C$11:$C$13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C̳álculos!$D$11:$D$13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E-4BFE-BF75-636B9A0637F2}"/>
            </c:ext>
          </c:extLst>
        </c:ser>
        <c:ser>
          <c:idx val="1"/>
          <c:order val="1"/>
          <c:tx>
            <c:strRef>
              <c:f>C̳álculos!$E$9:$E$10</c:f>
              <c:strCache>
                <c:ptCount val="1"/>
                <c:pt idx="0">
                  <c:v>Monthly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C̳álculos!$C$11:$C$13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C̳álculos!$E$11:$E$13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38E-4BFE-BF75-636B9A0637F2}"/>
            </c:ext>
          </c:extLst>
        </c:ser>
        <c:ser>
          <c:idx val="2"/>
          <c:order val="2"/>
          <c:tx>
            <c:strRef>
              <c:f>C̳álculos!$F$9:$F$10</c:f>
              <c:strCache>
                <c:ptCount val="1"/>
                <c:pt idx="0">
                  <c:v>Quarterly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_(&quot;R$&quot;* #,##0.00_);_(&quot;R$&quot;* \(#,##0.00\);_(&quot;R$&quot;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C̳álculos!$C$11:$C$13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C̳álculos!$F$11:$F$13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638E-4BFE-BF75-636B9A0637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8"/>
        <c:overlap val="-11"/>
        <c:axId val="103368047"/>
        <c:axId val="103367567"/>
      </c:barChart>
      <c:catAx>
        <c:axId val="103368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367567"/>
        <c:crosses val="autoZero"/>
        <c:auto val="1"/>
        <c:lblAlgn val="ctr"/>
        <c:lblOffset val="100"/>
        <c:noMultiLvlLbl val="0"/>
      </c:catAx>
      <c:valAx>
        <c:axId val="10336756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3368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7" Type="http://schemas.openxmlformats.org/officeDocument/2006/relationships/image" Target="../media/image10.sv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1866901</xdr:colOff>
      <xdr:row>0</xdr:row>
      <xdr:rowOff>38100</xdr:rowOff>
    </xdr:from>
    <xdr:to>
      <xdr:col>2</xdr:col>
      <xdr:colOff>381001</xdr:colOff>
      <xdr:row>2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BB62B37-D348-466F-BEA1-01D84F4AB6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0957" b="4182"/>
        <a:stretch>
          <a:fillRect/>
        </a:stretch>
      </xdr:blipFill>
      <xdr:spPr>
        <a:xfrm>
          <a:off x="1866901" y="38100"/>
          <a:ext cx="838200" cy="942975"/>
        </a:xfrm>
        <a:prstGeom prst="rect">
          <a:avLst/>
        </a:prstGeom>
      </xdr:spPr>
    </xdr:pic>
    <xdr:clientData/>
  </xdr:twoCellAnchor>
  <xdr:twoCellAnchor editAs="absolute">
    <xdr:from>
      <xdr:col>0</xdr:col>
      <xdr:colOff>571500</xdr:colOff>
      <xdr:row>0</xdr:row>
      <xdr:rowOff>209549</xdr:rowOff>
    </xdr:from>
    <xdr:to>
      <xdr:col>0</xdr:col>
      <xdr:colOff>1362075</xdr:colOff>
      <xdr:row>2</xdr:row>
      <xdr:rowOff>76199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68E13314-2185-413E-A53F-5D843CF20D0D}"/>
            </a:ext>
          </a:extLst>
        </xdr:cNvPr>
        <xdr:cNvSpPr/>
      </xdr:nvSpPr>
      <xdr:spPr>
        <a:xfrm>
          <a:off x="571500" y="209549"/>
          <a:ext cx="790575" cy="752475"/>
        </a:xfrm>
        <a:prstGeom prst="ellipse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371475</xdr:colOff>
      <xdr:row>2</xdr:row>
      <xdr:rowOff>95249</xdr:rowOff>
    </xdr:from>
    <xdr:to>
      <xdr:col>0</xdr:col>
      <xdr:colOff>1647825</xdr:colOff>
      <xdr:row>4</xdr:row>
      <xdr:rowOff>180974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92A61D85-A877-1499-CA5C-B88E87995552}"/>
            </a:ext>
          </a:extLst>
        </xdr:cNvPr>
        <xdr:cNvSpPr/>
      </xdr:nvSpPr>
      <xdr:spPr>
        <a:xfrm>
          <a:off x="371475" y="981074"/>
          <a:ext cx="12763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 b="1"/>
            <a:t>Olá,</a:t>
          </a:r>
          <a:r>
            <a:rPr lang="pt-BR" sz="1600" b="1" baseline="0"/>
            <a:t> Lucas!</a:t>
          </a:r>
          <a:endParaRPr lang="pt-BR" sz="1600" b="1"/>
        </a:p>
      </xdr:txBody>
    </xdr:sp>
    <xdr:clientData/>
  </xdr:twoCellAnchor>
  <xdr:twoCellAnchor editAs="absolute">
    <xdr:from>
      <xdr:col>1</xdr:col>
      <xdr:colOff>161925</xdr:colOff>
      <xdr:row>13</xdr:row>
      <xdr:rowOff>123824</xdr:rowOff>
    </xdr:from>
    <xdr:to>
      <xdr:col>21</xdr:col>
      <xdr:colOff>57150</xdr:colOff>
      <xdr:row>33</xdr:row>
      <xdr:rowOff>152399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5ACFD322-5C25-8EC7-919A-F44D937B729D}"/>
            </a:ext>
          </a:extLst>
        </xdr:cNvPr>
        <xdr:cNvGrpSpPr/>
      </xdr:nvGrpSpPr>
      <xdr:grpSpPr>
        <a:xfrm>
          <a:off x="2238375" y="3181349"/>
          <a:ext cx="11563350" cy="3648075"/>
          <a:chOff x="2238375" y="3181349"/>
          <a:chExt cx="11563350" cy="3648075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7EB64FCC-33DA-4567-BC19-18C4FFC09A1D}"/>
              </a:ext>
            </a:extLst>
          </xdr:cNvPr>
          <xdr:cNvGrpSpPr/>
        </xdr:nvGrpSpPr>
        <xdr:grpSpPr>
          <a:xfrm>
            <a:off x="2238375" y="3181349"/>
            <a:ext cx="11563350" cy="3648075"/>
            <a:chOff x="2190750" y="1219200"/>
            <a:chExt cx="5448300" cy="1600200"/>
          </a:xfrm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A37F13EF-4B2B-A370-4141-1687DD18BEEA}"/>
                </a:ext>
              </a:extLst>
            </xdr:cNvPr>
            <xdr:cNvSpPr/>
          </xdr:nvSpPr>
          <xdr:spPr>
            <a:xfrm>
              <a:off x="2190750" y="1219200"/>
              <a:ext cx="5295900" cy="1590675"/>
            </a:xfrm>
            <a:prstGeom prst="roundRect">
              <a:avLst>
                <a:gd name="adj" fmla="val 6487"/>
              </a:avLst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31BE79D7-0EA7-3CEF-23D4-5D6C2CF0B1A6}"/>
                </a:ext>
              </a:extLst>
            </xdr:cNvPr>
            <xdr:cNvSpPr/>
          </xdr:nvSpPr>
          <xdr:spPr>
            <a:xfrm>
              <a:off x="2228850" y="1247775"/>
              <a:ext cx="5410200" cy="1571625"/>
            </a:xfrm>
            <a:prstGeom prst="roundRect">
              <a:avLst>
                <a:gd name="adj" fmla="val 6487"/>
              </a:avLst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sp macro="" textlink="">
        <xdr:nvSpPr>
          <xdr:cNvPr id="15" name="Retângulo: Cantos Superiores Arredondados 14">
            <a:extLst>
              <a:ext uri="{FF2B5EF4-FFF2-40B4-BE49-F238E27FC236}">
                <a16:creationId xmlns:a16="http://schemas.microsoft.com/office/drawing/2014/main" id="{E5362CBF-7346-479E-866E-103EC1A25464}"/>
              </a:ext>
            </a:extLst>
          </xdr:cNvPr>
          <xdr:cNvSpPr/>
        </xdr:nvSpPr>
        <xdr:spPr>
          <a:xfrm>
            <a:off x="2305050" y="3200399"/>
            <a:ext cx="11493177" cy="552451"/>
          </a:xfrm>
          <a:prstGeom prst="round2SameRect">
            <a:avLst/>
          </a:prstGeom>
          <a:solidFill>
            <a:srgbClr val="2AE6B1"/>
          </a:solidFill>
          <a:ln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/>
              <a:t>TOTAL SUBSCRIPTIONS XBOX GAME PASS</a:t>
            </a:r>
          </a:p>
        </xdr:txBody>
      </xdr:sp>
      <xdr:graphicFrame macro="">
        <xdr:nvGraphicFramePr>
          <xdr:cNvPr id="16" name="Gráfico 15">
            <a:extLst>
              <a:ext uri="{FF2B5EF4-FFF2-40B4-BE49-F238E27FC236}">
                <a16:creationId xmlns:a16="http://schemas.microsoft.com/office/drawing/2014/main" id="{7B9225DC-3B86-48CD-B60C-95EF3F1888CA}"/>
              </a:ext>
            </a:extLst>
          </xdr:cNvPr>
          <xdr:cNvGraphicFramePr>
            <a:graphicFrameLocks/>
          </xdr:cNvGraphicFramePr>
        </xdr:nvGraphicFramePr>
        <xdr:xfrm>
          <a:off x="2562224" y="3867150"/>
          <a:ext cx="10982326" cy="26174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 editAs="oneCell">
    <xdr:from>
      <xdr:col>0</xdr:col>
      <xdr:colOff>47625</xdr:colOff>
      <xdr:row>6</xdr:row>
      <xdr:rowOff>165735</xdr:rowOff>
    </xdr:from>
    <xdr:to>
      <xdr:col>0</xdr:col>
      <xdr:colOff>1950720</xdr:colOff>
      <xdr:row>20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7" name="Subscription Type">
              <a:extLst>
                <a:ext uri="{FF2B5EF4-FFF2-40B4-BE49-F238E27FC236}">
                  <a16:creationId xmlns:a16="http://schemas.microsoft.com/office/drawing/2014/main" id="{09B72044-6C95-4E09-942D-4F1DBB957A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1718310"/>
              <a:ext cx="1903095" cy="26536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190500</xdr:colOff>
      <xdr:row>3</xdr:row>
      <xdr:rowOff>152400</xdr:rowOff>
    </xdr:from>
    <xdr:to>
      <xdr:col>10</xdr:col>
      <xdr:colOff>533399</xdr:colOff>
      <xdr:row>11</xdr:row>
      <xdr:rowOff>123825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C07EB451-20B2-A5B8-3DE1-10470D3969EF}"/>
            </a:ext>
          </a:extLst>
        </xdr:cNvPr>
        <xdr:cNvGrpSpPr/>
      </xdr:nvGrpSpPr>
      <xdr:grpSpPr>
        <a:xfrm>
          <a:off x="2266950" y="1219200"/>
          <a:ext cx="5467349" cy="1600200"/>
          <a:chOff x="2266950" y="1219200"/>
          <a:chExt cx="5467349" cy="1600200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A375C70F-F537-535E-6D0C-E16B493E17D1}"/>
              </a:ext>
            </a:extLst>
          </xdr:cNvPr>
          <xdr:cNvGrpSpPr/>
        </xdr:nvGrpSpPr>
        <xdr:grpSpPr>
          <a:xfrm>
            <a:off x="2266950" y="1219200"/>
            <a:ext cx="5448300" cy="1600200"/>
            <a:chOff x="2190750" y="1219200"/>
            <a:chExt cx="5448300" cy="1600200"/>
          </a:xfrm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4C26C113-3FDD-0A4D-2CAA-C6568D45CDDB}"/>
                </a:ext>
              </a:extLst>
            </xdr:cNvPr>
            <xdr:cNvSpPr/>
          </xdr:nvSpPr>
          <xdr:spPr>
            <a:xfrm>
              <a:off x="2190750" y="1219200"/>
              <a:ext cx="5295900" cy="1590675"/>
            </a:xfrm>
            <a:prstGeom prst="roundRect">
              <a:avLst>
                <a:gd name="adj" fmla="val 6487"/>
              </a:avLst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156992FA-C80D-4590-8D1E-B6DD81A72D56}"/>
                </a:ext>
              </a:extLst>
            </xdr:cNvPr>
            <xdr:cNvSpPr/>
          </xdr:nvSpPr>
          <xdr:spPr>
            <a:xfrm>
              <a:off x="2228850" y="1247775"/>
              <a:ext cx="5410200" cy="1571625"/>
            </a:xfrm>
            <a:prstGeom prst="roundRect">
              <a:avLst>
                <a:gd name="adj" fmla="val 6487"/>
              </a:avLst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06316E47-E689-61A7-B049-B5A976C53908}"/>
              </a:ext>
            </a:extLst>
          </xdr:cNvPr>
          <xdr:cNvSpPr/>
        </xdr:nvSpPr>
        <xdr:spPr>
          <a:xfrm>
            <a:off x="2314574" y="1228725"/>
            <a:ext cx="5419725" cy="400050"/>
          </a:xfrm>
          <a:prstGeom prst="round2SameRect">
            <a:avLst/>
          </a:prstGeom>
          <a:solidFill>
            <a:srgbClr val="2AE6B1"/>
          </a:solidFill>
          <a:ln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/>
              <a:t>TOTAL SUBSCRIPTIONS EA PLAY SEASON PASS</a:t>
            </a:r>
          </a:p>
        </xdr:txBody>
      </xdr:sp>
      <xdr:sp macro="" textlink="C̳álculos!G38">
        <xdr:nvSpPr>
          <xdr:cNvPr id="11" name="Retângulo 10">
            <a:extLst>
              <a:ext uri="{FF2B5EF4-FFF2-40B4-BE49-F238E27FC236}">
                <a16:creationId xmlns:a16="http://schemas.microsoft.com/office/drawing/2014/main" id="{C8F15FDD-FC1E-399C-60E8-FE3B52FC7B9C}"/>
              </a:ext>
            </a:extLst>
          </xdr:cNvPr>
          <xdr:cNvSpPr/>
        </xdr:nvSpPr>
        <xdr:spPr>
          <a:xfrm>
            <a:off x="4600575" y="1902143"/>
            <a:ext cx="2705100" cy="5810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fld id="{F7342E07-D742-4688-A295-D4BB905E463D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t> R$ 2.940,00 </a:t>
            </a:fld>
            <a:endParaRPr lang="pt-BR" sz="3600">
              <a:solidFill>
                <a:srgbClr val="22C55E"/>
              </a:solidFill>
            </a:endParaRPr>
          </a:p>
        </xdr:txBody>
      </xdr:sp>
      <xdr:pic>
        <xdr:nvPicPr>
          <xdr:cNvPr id="19" name="Imagem 18">
            <a:extLst>
              <a:ext uri="{FF2B5EF4-FFF2-40B4-BE49-F238E27FC236}">
                <a16:creationId xmlns:a16="http://schemas.microsoft.com/office/drawing/2014/main" id="{080FC7C0-9F6F-4838-A0A9-BAD8C73F88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24150" y="1609725"/>
            <a:ext cx="1219200" cy="1165860"/>
          </a:xfrm>
          <a:prstGeom prst="rect">
            <a:avLst/>
          </a:prstGeom>
        </xdr:spPr>
      </xdr:pic>
    </xdr:grpSp>
    <xdr:clientData/>
  </xdr:twoCellAnchor>
  <xdr:twoCellAnchor editAs="oneCell">
    <xdr:from>
      <xdr:col>12</xdr:col>
      <xdr:colOff>47624</xdr:colOff>
      <xdr:row>4</xdr:row>
      <xdr:rowOff>9525</xdr:rowOff>
    </xdr:from>
    <xdr:to>
      <xdr:col>21</xdr:col>
      <xdr:colOff>28573</xdr:colOff>
      <xdr:row>11</xdr:row>
      <xdr:rowOff>161925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FDD20986-CB2A-1F03-9215-940F9AA358C8}"/>
            </a:ext>
          </a:extLst>
        </xdr:cNvPr>
        <xdr:cNvGrpSpPr/>
      </xdr:nvGrpSpPr>
      <xdr:grpSpPr>
        <a:xfrm>
          <a:off x="8305799" y="1257300"/>
          <a:ext cx="5467349" cy="1600200"/>
          <a:chOff x="8305799" y="1257300"/>
          <a:chExt cx="5467349" cy="1600200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D4B4E7EA-B1EF-4003-A0B6-B9F95B1855B9}"/>
              </a:ext>
            </a:extLst>
          </xdr:cNvPr>
          <xdr:cNvGrpSpPr/>
        </xdr:nvGrpSpPr>
        <xdr:grpSpPr>
          <a:xfrm>
            <a:off x="8305799" y="1257300"/>
            <a:ext cx="5448300" cy="1600200"/>
            <a:chOff x="2190750" y="1219200"/>
            <a:chExt cx="5448300" cy="1600200"/>
          </a:xfrm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FB8FD39A-0725-720B-9C33-6FA974BD93FD}"/>
                </a:ext>
              </a:extLst>
            </xdr:cNvPr>
            <xdr:cNvSpPr/>
          </xdr:nvSpPr>
          <xdr:spPr>
            <a:xfrm>
              <a:off x="2190750" y="1219200"/>
              <a:ext cx="5295900" cy="1590675"/>
            </a:xfrm>
            <a:prstGeom prst="roundRect">
              <a:avLst>
                <a:gd name="adj" fmla="val 6487"/>
              </a:avLst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CE75DB85-BB55-5555-FE8B-5578AB71345F}"/>
                </a:ext>
              </a:extLst>
            </xdr:cNvPr>
            <xdr:cNvSpPr/>
          </xdr:nvSpPr>
          <xdr:spPr>
            <a:xfrm>
              <a:off x="2228850" y="1247775"/>
              <a:ext cx="5410200" cy="1571625"/>
            </a:xfrm>
            <a:prstGeom prst="roundRect">
              <a:avLst>
                <a:gd name="adj" fmla="val 6487"/>
              </a:avLst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48F31F78-5CEA-4D3E-9D77-DA898E97BC28}"/>
              </a:ext>
            </a:extLst>
          </xdr:cNvPr>
          <xdr:cNvSpPr/>
        </xdr:nvSpPr>
        <xdr:spPr>
          <a:xfrm>
            <a:off x="8353423" y="1266825"/>
            <a:ext cx="5419725" cy="400050"/>
          </a:xfrm>
          <a:prstGeom prst="round2SameRect">
            <a:avLst/>
          </a:prstGeom>
          <a:solidFill>
            <a:srgbClr val="2AE6B1"/>
          </a:solidFill>
          <a:ln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/>
              <a:t>TOTAL SUBSCRIPTIONS MINECRAFT SEASON PASS</a:t>
            </a:r>
          </a:p>
        </xdr:txBody>
      </xdr:sp>
      <xdr:sp macro="" textlink="C̳álculos!G38">
        <xdr:nvSpPr>
          <xdr:cNvPr id="24" name="Retângulo 23">
            <a:extLst>
              <a:ext uri="{FF2B5EF4-FFF2-40B4-BE49-F238E27FC236}">
                <a16:creationId xmlns:a16="http://schemas.microsoft.com/office/drawing/2014/main" id="{4A9988B8-F901-4CDD-B707-4082ED0A8816}"/>
              </a:ext>
            </a:extLst>
          </xdr:cNvPr>
          <xdr:cNvSpPr/>
        </xdr:nvSpPr>
        <xdr:spPr>
          <a:xfrm>
            <a:off x="11010900" y="1943100"/>
            <a:ext cx="2705100" cy="5810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fld id="{F7342E07-D742-4688-A295-D4BB905E463D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t> R$ 2.940,00 </a:t>
            </a:fld>
            <a:endParaRPr lang="pt-BR" sz="3600">
              <a:solidFill>
                <a:srgbClr val="22C55E"/>
              </a:solidFill>
            </a:endParaRPr>
          </a:p>
        </xdr:txBody>
      </xdr:sp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8E57A70B-7E3E-4CCA-96F9-3FFFD9F4CB80}"/>
              </a:ext>
            </a:extLst>
          </xdr:cNvPr>
          <xdr:cNvGrpSpPr/>
        </xdr:nvGrpSpPr>
        <xdr:grpSpPr>
          <a:xfrm>
            <a:off x="8820150" y="1943100"/>
            <a:ext cx="1219200" cy="581025"/>
            <a:chOff x="3495675" y="5400674"/>
            <a:chExt cx="1549476" cy="752476"/>
          </a:xfrm>
        </xdr:grpSpPr>
        <xdr:pic>
          <xdr:nvPicPr>
            <xdr:cNvPr id="27" name="Imagem 26">
              <a:extLst>
                <a:ext uri="{FF2B5EF4-FFF2-40B4-BE49-F238E27FC236}">
                  <a16:creationId xmlns:a16="http://schemas.microsoft.com/office/drawing/2014/main" id="{7D76F70F-58B4-7413-0AE8-769AFCBABEC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8" name="Gráfico 27">
              <a:extLst>
                <a:ext uri="{FF2B5EF4-FFF2-40B4-BE49-F238E27FC236}">
                  <a16:creationId xmlns:a16="http://schemas.microsoft.com/office/drawing/2014/main" id="{32556C5C-2980-A477-4450-29E114BF955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96DAC541-7B7A-43D3-8B79-37D633B846F1}">
                  <asvg:svgBlip xmlns:asvg="http://schemas.microsoft.com/office/drawing/2016/SVG/main" r:embed="rId7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17</xdr:col>
      <xdr:colOff>228601</xdr:colOff>
      <xdr:row>2</xdr:row>
      <xdr:rowOff>19049</xdr:rowOff>
    </xdr:from>
    <xdr:to>
      <xdr:col>22</xdr:col>
      <xdr:colOff>361951</xdr:colOff>
      <xdr:row>3</xdr:row>
      <xdr:rowOff>142875</xdr:rowOff>
    </xdr:to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FCF0BCA0-F72E-2E2E-01E6-3BDAB59FB4E7}"/>
            </a:ext>
          </a:extLst>
        </xdr:cNvPr>
        <xdr:cNvSpPr txBox="1"/>
      </xdr:nvSpPr>
      <xdr:spPr>
        <a:xfrm>
          <a:off x="11534776" y="904874"/>
          <a:ext cx="3181350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900" b="1">
              <a:solidFill>
                <a:schemeClr val="tx1">
                  <a:lumMod val="50000"/>
                  <a:lumOff val="50000"/>
                </a:schemeClr>
              </a:solidFill>
            </a:rPr>
            <a:t>Fonte</a:t>
          </a:r>
          <a:r>
            <a:rPr lang="pt-BR" sz="900">
              <a:solidFill>
                <a:schemeClr val="tx1">
                  <a:lumMod val="50000"/>
                  <a:lumOff val="50000"/>
                </a:schemeClr>
              </a:solidFill>
            </a:rPr>
            <a:t>: BDAdmin  |</a:t>
          </a:r>
          <a:r>
            <a:rPr lang="pt-BR" sz="900" baseline="0">
              <a:solidFill>
                <a:schemeClr val="tx1">
                  <a:lumMod val="50000"/>
                  <a:lumOff val="50000"/>
                </a:schemeClr>
              </a:solidFill>
            </a:rPr>
            <a:t>  Atualizado até 14/02/2026 - 12:00:00 </a:t>
          </a:r>
          <a:endParaRPr lang="pt-BR" sz="9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mara Gomes" refreshedDate="46067.682428356478" createdVersion="8" refreshedVersion="8" minRefreshableVersion="3" recordCount="295" xr:uid="{3466C3B3-703D-4835-8CAC-01283E303238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5209137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x v="0"/>
    <x v="0"/>
    <x v="0"/>
    <x v="0"/>
    <x v="0"/>
    <n v="20"/>
    <n v="5"/>
    <n v="60"/>
  </r>
  <r>
    <n v="3232"/>
    <x v="1"/>
    <x v="1"/>
    <d v="2024-01-15T00:00:00"/>
    <x v="1"/>
    <x v="1"/>
    <x v="1"/>
    <x v="1"/>
    <x v="1"/>
    <x v="1"/>
    <n v="0"/>
    <n v="0"/>
    <n v="5"/>
  </r>
  <r>
    <n v="3233"/>
    <x v="2"/>
    <x v="2"/>
    <d v="2024-02-10T00:00:00"/>
    <x v="0"/>
    <x v="2"/>
    <x v="2"/>
    <x v="1"/>
    <x v="1"/>
    <x v="0"/>
    <n v="20"/>
    <n v="10"/>
    <n v="20"/>
  </r>
  <r>
    <n v="3234"/>
    <x v="3"/>
    <x v="0"/>
    <d v="2024-02-20T00:00:00"/>
    <x v="1"/>
    <x v="0"/>
    <x v="0"/>
    <x v="0"/>
    <x v="0"/>
    <x v="0"/>
    <n v="20"/>
    <n v="3"/>
    <n v="62"/>
  </r>
  <r>
    <n v="3235"/>
    <x v="4"/>
    <x v="1"/>
    <d v="2024-03-05T00:00:00"/>
    <x v="0"/>
    <x v="1"/>
    <x v="0"/>
    <x v="1"/>
    <x v="1"/>
    <x v="1"/>
    <n v="0"/>
    <n v="1"/>
    <n v="4"/>
  </r>
  <r>
    <n v="3236"/>
    <x v="5"/>
    <x v="2"/>
    <d v="2024-03-02T00:00:00"/>
    <x v="1"/>
    <x v="2"/>
    <x v="0"/>
    <x v="1"/>
    <x v="1"/>
    <x v="0"/>
    <n v="20"/>
    <n v="2"/>
    <n v="28"/>
  </r>
  <r>
    <n v="3237"/>
    <x v="6"/>
    <x v="0"/>
    <d v="2024-03-03T00:00:00"/>
    <x v="0"/>
    <x v="0"/>
    <x v="2"/>
    <x v="0"/>
    <x v="0"/>
    <x v="0"/>
    <n v="20"/>
    <n v="10"/>
    <n v="55"/>
  </r>
  <r>
    <n v="3238"/>
    <x v="7"/>
    <x v="1"/>
    <d v="2024-03-04T00:00:00"/>
    <x v="0"/>
    <x v="1"/>
    <x v="1"/>
    <x v="1"/>
    <x v="1"/>
    <x v="1"/>
    <n v="0"/>
    <n v="0"/>
    <n v="5"/>
  </r>
  <r>
    <n v="3239"/>
    <x v="8"/>
    <x v="0"/>
    <d v="2024-03-05T00:00:00"/>
    <x v="1"/>
    <x v="0"/>
    <x v="0"/>
    <x v="0"/>
    <x v="0"/>
    <x v="0"/>
    <n v="20"/>
    <n v="5"/>
    <n v="60"/>
  </r>
  <r>
    <n v="3240"/>
    <x v="9"/>
    <x v="2"/>
    <d v="2024-03-06T00:00:00"/>
    <x v="0"/>
    <x v="2"/>
    <x v="2"/>
    <x v="1"/>
    <x v="1"/>
    <x v="0"/>
    <n v="20"/>
    <n v="15"/>
    <n v="15"/>
  </r>
  <r>
    <n v="3241"/>
    <x v="10"/>
    <x v="1"/>
    <d v="2024-03-07T00:00:00"/>
    <x v="1"/>
    <x v="1"/>
    <x v="0"/>
    <x v="1"/>
    <x v="1"/>
    <x v="1"/>
    <n v="0"/>
    <n v="1"/>
    <n v="4"/>
  </r>
  <r>
    <n v="3242"/>
    <x v="11"/>
    <x v="0"/>
    <d v="2024-03-08T00:00:00"/>
    <x v="0"/>
    <x v="0"/>
    <x v="1"/>
    <x v="0"/>
    <x v="0"/>
    <x v="0"/>
    <n v="20"/>
    <n v="20"/>
    <n v="45"/>
  </r>
  <r>
    <n v="3243"/>
    <x v="12"/>
    <x v="2"/>
    <d v="2024-03-09T00:00:00"/>
    <x v="1"/>
    <x v="2"/>
    <x v="0"/>
    <x v="1"/>
    <x v="1"/>
    <x v="0"/>
    <n v="20"/>
    <n v="10"/>
    <n v="20"/>
  </r>
  <r>
    <n v="3244"/>
    <x v="13"/>
    <x v="1"/>
    <d v="2024-03-10T00:00:00"/>
    <x v="0"/>
    <x v="1"/>
    <x v="2"/>
    <x v="1"/>
    <x v="1"/>
    <x v="1"/>
    <n v="0"/>
    <n v="0"/>
    <n v="5"/>
  </r>
  <r>
    <n v="3245"/>
    <x v="14"/>
    <x v="0"/>
    <d v="2024-03-11T00:00:00"/>
    <x v="1"/>
    <x v="0"/>
    <x v="0"/>
    <x v="0"/>
    <x v="0"/>
    <x v="0"/>
    <n v="20"/>
    <n v="8"/>
    <n v="57"/>
  </r>
  <r>
    <n v="3246"/>
    <x v="15"/>
    <x v="2"/>
    <d v="2024-03-12T00:00:00"/>
    <x v="0"/>
    <x v="2"/>
    <x v="1"/>
    <x v="1"/>
    <x v="1"/>
    <x v="0"/>
    <n v="20"/>
    <n v="12"/>
    <n v="18"/>
  </r>
  <r>
    <n v="3247"/>
    <x v="16"/>
    <x v="1"/>
    <d v="2024-03-13T00:00:00"/>
    <x v="1"/>
    <x v="1"/>
    <x v="0"/>
    <x v="1"/>
    <x v="1"/>
    <x v="1"/>
    <n v="0"/>
    <n v="2"/>
    <n v="3"/>
  </r>
  <r>
    <n v="3248"/>
    <x v="17"/>
    <x v="0"/>
    <d v="2024-03-14T00:00:00"/>
    <x v="0"/>
    <x v="0"/>
    <x v="2"/>
    <x v="0"/>
    <x v="0"/>
    <x v="0"/>
    <n v="20"/>
    <n v="7"/>
    <n v="58"/>
  </r>
  <r>
    <n v="3249"/>
    <x v="18"/>
    <x v="2"/>
    <d v="2024-03-15T00:00:00"/>
    <x v="1"/>
    <x v="2"/>
    <x v="0"/>
    <x v="1"/>
    <x v="1"/>
    <x v="0"/>
    <n v="20"/>
    <n v="5"/>
    <n v="25"/>
  </r>
  <r>
    <n v="3250"/>
    <x v="19"/>
    <x v="1"/>
    <d v="2024-03-16T00:00:00"/>
    <x v="0"/>
    <x v="1"/>
    <x v="1"/>
    <x v="1"/>
    <x v="1"/>
    <x v="1"/>
    <n v="0"/>
    <n v="0"/>
    <n v="5"/>
  </r>
  <r>
    <n v="3251"/>
    <x v="20"/>
    <x v="0"/>
    <d v="2024-03-17T00:00:00"/>
    <x v="1"/>
    <x v="0"/>
    <x v="0"/>
    <x v="0"/>
    <x v="0"/>
    <x v="0"/>
    <n v="20"/>
    <n v="3"/>
    <n v="62"/>
  </r>
  <r>
    <n v="3252"/>
    <x v="21"/>
    <x v="2"/>
    <d v="2024-03-18T00:00:00"/>
    <x v="0"/>
    <x v="2"/>
    <x v="2"/>
    <x v="1"/>
    <x v="1"/>
    <x v="0"/>
    <n v="20"/>
    <n v="15"/>
    <n v="15"/>
  </r>
  <r>
    <n v="3253"/>
    <x v="22"/>
    <x v="1"/>
    <d v="2024-03-19T00:00:00"/>
    <x v="1"/>
    <x v="1"/>
    <x v="0"/>
    <x v="1"/>
    <x v="1"/>
    <x v="1"/>
    <n v="0"/>
    <n v="1"/>
    <n v="4"/>
  </r>
  <r>
    <n v="3254"/>
    <x v="23"/>
    <x v="0"/>
    <d v="2024-03-20T00:00:00"/>
    <x v="0"/>
    <x v="0"/>
    <x v="1"/>
    <x v="0"/>
    <x v="0"/>
    <x v="0"/>
    <n v="20"/>
    <n v="20"/>
    <n v="45"/>
  </r>
  <r>
    <n v="3255"/>
    <x v="24"/>
    <x v="2"/>
    <d v="2024-03-21T00:00:00"/>
    <x v="1"/>
    <x v="2"/>
    <x v="0"/>
    <x v="1"/>
    <x v="1"/>
    <x v="0"/>
    <n v="20"/>
    <n v="10"/>
    <n v="20"/>
  </r>
  <r>
    <n v="3256"/>
    <x v="25"/>
    <x v="1"/>
    <d v="2024-03-22T00:00:00"/>
    <x v="0"/>
    <x v="1"/>
    <x v="2"/>
    <x v="1"/>
    <x v="1"/>
    <x v="1"/>
    <n v="0"/>
    <n v="0"/>
    <n v="5"/>
  </r>
  <r>
    <n v="3257"/>
    <x v="26"/>
    <x v="0"/>
    <d v="2024-03-23T00:00:00"/>
    <x v="1"/>
    <x v="0"/>
    <x v="0"/>
    <x v="0"/>
    <x v="0"/>
    <x v="0"/>
    <n v="20"/>
    <n v="5"/>
    <n v="60"/>
  </r>
  <r>
    <n v="3258"/>
    <x v="27"/>
    <x v="2"/>
    <d v="2024-03-24T00:00:00"/>
    <x v="0"/>
    <x v="2"/>
    <x v="1"/>
    <x v="1"/>
    <x v="1"/>
    <x v="0"/>
    <n v="20"/>
    <n v="15"/>
    <n v="15"/>
  </r>
  <r>
    <n v="3259"/>
    <x v="28"/>
    <x v="1"/>
    <d v="2024-03-25T00:00:00"/>
    <x v="1"/>
    <x v="1"/>
    <x v="0"/>
    <x v="1"/>
    <x v="1"/>
    <x v="1"/>
    <n v="0"/>
    <n v="1"/>
    <n v="4"/>
  </r>
  <r>
    <n v="3260"/>
    <x v="29"/>
    <x v="0"/>
    <d v="2024-03-26T00:00:00"/>
    <x v="0"/>
    <x v="0"/>
    <x v="2"/>
    <x v="0"/>
    <x v="0"/>
    <x v="0"/>
    <n v="20"/>
    <n v="7"/>
    <n v="58"/>
  </r>
  <r>
    <n v="3261"/>
    <x v="30"/>
    <x v="2"/>
    <d v="2024-03-27T00:00:00"/>
    <x v="1"/>
    <x v="2"/>
    <x v="0"/>
    <x v="1"/>
    <x v="1"/>
    <x v="0"/>
    <n v="20"/>
    <n v="10"/>
    <n v="20"/>
  </r>
  <r>
    <n v="3262"/>
    <x v="31"/>
    <x v="1"/>
    <d v="2024-03-28T00:00:00"/>
    <x v="0"/>
    <x v="1"/>
    <x v="1"/>
    <x v="1"/>
    <x v="1"/>
    <x v="1"/>
    <n v="0"/>
    <n v="0"/>
    <n v="5"/>
  </r>
  <r>
    <n v="3263"/>
    <x v="32"/>
    <x v="0"/>
    <d v="2024-03-29T00:00:00"/>
    <x v="1"/>
    <x v="0"/>
    <x v="0"/>
    <x v="0"/>
    <x v="0"/>
    <x v="0"/>
    <n v="20"/>
    <n v="3"/>
    <n v="62"/>
  </r>
  <r>
    <n v="3264"/>
    <x v="33"/>
    <x v="2"/>
    <d v="2024-03-30T00:00:00"/>
    <x v="0"/>
    <x v="2"/>
    <x v="2"/>
    <x v="1"/>
    <x v="1"/>
    <x v="0"/>
    <n v="20"/>
    <n v="15"/>
    <n v="15"/>
  </r>
  <r>
    <n v="3265"/>
    <x v="34"/>
    <x v="1"/>
    <d v="2024-03-31T00:00:00"/>
    <x v="1"/>
    <x v="1"/>
    <x v="0"/>
    <x v="1"/>
    <x v="1"/>
    <x v="1"/>
    <n v="0"/>
    <n v="1"/>
    <n v="4"/>
  </r>
  <r>
    <n v="3266"/>
    <x v="35"/>
    <x v="1"/>
    <d v="2024-04-01T00:00:00"/>
    <x v="0"/>
    <x v="1"/>
    <x v="0"/>
    <x v="1"/>
    <x v="1"/>
    <x v="1"/>
    <n v="0"/>
    <n v="0"/>
    <n v="5"/>
  </r>
  <r>
    <n v="3267"/>
    <x v="36"/>
    <x v="0"/>
    <d v="2024-04-02T00:00:00"/>
    <x v="1"/>
    <x v="0"/>
    <x v="2"/>
    <x v="0"/>
    <x v="0"/>
    <x v="0"/>
    <n v="20"/>
    <n v="7"/>
    <n v="58"/>
  </r>
  <r>
    <n v="3268"/>
    <x v="37"/>
    <x v="2"/>
    <d v="2024-04-03T00:00:00"/>
    <x v="0"/>
    <x v="2"/>
    <x v="1"/>
    <x v="1"/>
    <x v="1"/>
    <x v="0"/>
    <n v="20"/>
    <n v="10"/>
    <n v="20"/>
  </r>
  <r>
    <n v="3269"/>
    <x v="38"/>
    <x v="1"/>
    <d v="2024-04-04T00:00:00"/>
    <x v="1"/>
    <x v="1"/>
    <x v="2"/>
    <x v="1"/>
    <x v="1"/>
    <x v="1"/>
    <n v="0"/>
    <n v="1"/>
    <n v="4"/>
  </r>
  <r>
    <n v="3270"/>
    <x v="39"/>
    <x v="0"/>
    <d v="2024-04-05T00:00:00"/>
    <x v="0"/>
    <x v="0"/>
    <x v="0"/>
    <x v="0"/>
    <x v="0"/>
    <x v="0"/>
    <n v="20"/>
    <n v="15"/>
    <n v="50"/>
  </r>
  <r>
    <n v="3271"/>
    <x v="40"/>
    <x v="2"/>
    <d v="2024-04-06T00:00:00"/>
    <x v="1"/>
    <x v="2"/>
    <x v="0"/>
    <x v="1"/>
    <x v="1"/>
    <x v="0"/>
    <n v="20"/>
    <n v="5"/>
    <n v="25"/>
  </r>
  <r>
    <n v="3272"/>
    <x v="41"/>
    <x v="1"/>
    <d v="2024-04-07T00:00:00"/>
    <x v="0"/>
    <x v="1"/>
    <x v="1"/>
    <x v="1"/>
    <x v="1"/>
    <x v="1"/>
    <n v="0"/>
    <n v="0"/>
    <n v="5"/>
  </r>
  <r>
    <n v="3273"/>
    <x v="42"/>
    <x v="0"/>
    <d v="2024-04-08T00:00:00"/>
    <x v="1"/>
    <x v="0"/>
    <x v="2"/>
    <x v="0"/>
    <x v="0"/>
    <x v="0"/>
    <n v="20"/>
    <n v="20"/>
    <n v="45"/>
  </r>
  <r>
    <n v="3274"/>
    <x v="43"/>
    <x v="2"/>
    <d v="2024-04-09T00:00:00"/>
    <x v="0"/>
    <x v="2"/>
    <x v="2"/>
    <x v="1"/>
    <x v="1"/>
    <x v="0"/>
    <n v="20"/>
    <n v="12"/>
    <n v="18"/>
  </r>
  <r>
    <n v="3275"/>
    <x v="44"/>
    <x v="1"/>
    <d v="2024-04-10T00:00:00"/>
    <x v="1"/>
    <x v="1"/>
    <x v="0"/>
    <x v="1"/>
    <x v="1"/>
    <x v="1"/>
    <n v="0"/>
    <n v="2"/>
    <n v="3"/>
  </r>
  <r>
    <n v="3276"/>
    <x v="45"/>
    <x v="0"/>
    <d v="2024-04-11T00:00:00"/>
    <x v="0"/>
    <x v="0"/>
    <x v="1"/>
    <x v="0"/>
    <x v="0"/>
    <x v="0"/>
    <n v="20"/>
    <n v="5"/>
    <n v="60"/>
  </r>
  <r>
    <n v="3277"/>
    <x v="46"/>
    <x v="2"/>
    <d v="2024-04-12T00:00:00"/>
    <x v="1"/>
    <x v="2"/>
    <x v="0"/>
    <x v="1"/>
    <x v="1"/>
    <x v="0"/>
    <n v="20"/>
    <n v="10"/>
    <n v="20"/>
  </r>
  <r>
    <n v="3278"/>
    <x v="47"/>
    <x v="1"/>
    <d v="2024-04-13T00:00:00"/>
    <x v="0"/>
    <x v="1"/>
    <x v="2"/>
    <x v="1"/>
    <x v="1"/>
    <x v="1"/>
    <n v="0"/>
    <n v="0"/>
    <n v="5"/>
  </r>
  <r>
    <n v="3279"/>
    <x v="48"/>
    <x v="0"/>
    <d v="2024-04-14T00:00:00"/>
    <x v="1"/>
    <x v="0"/>
    <x v="0"/>
    <x v="0"/>
    <x v="0"/>
    <x v="0"/>
    <n v="20"/>
    <n v="3"/>
    <n v="62"/>
  </r>
  <r>
    <n v="3280"/>
    <x v="49"/>
    <x v="2"/>
    <d v="2024-04-15T00:00:00"/>
    <x v="0"/>
    <x v="2"/>
    <x v="1"/>
    <x v="1"/>
    <x v="1"/>
    <x v="0"/>
    <n v="20"/>
    <n v="15"/>
    <n v="15"/>
  </r>
  <r>
    <n v="3281"/>
    <x v="50"/>
    <x v="1"/>
    <d v="2024-04-16T00:00:00"/>
    <x v="1"/>
    <x v="1"/>
    <x v="0"/>
    <x v="1"/>
    <x v="1"/>
    <x v="1"/>
    <n v="0"/>
    <n v="1"/>
    <n v="4"/>
  </r>
  <r>
    <n v="3282"/>
    <x v="51"/>
    <x v="0"/>
    <d v="2024-04-17T00:00:00"/>
    <x v="0"/>
    <x v="0"/>
    <x v="2"/>
    <x v="0"/>
    <x v="0"/>
    <x v="0"/>
    <n v="20"/>
    <n v="7"/>
    <n v="58"/>
  </r>
  <r>
    <n v="3283"/>
    <x v="52"/>
    <x v="2"/>
    <d v="2024-04-18T00:00:00"/>
    <x v="1"/>
    <x v="2"/>
    <x v="0"/>
    <x v="1"/>
    <x v="1"/>
    <x v="0"/>
    <n v="20"/>
    <n v="10"/>
    <n v="20"/>
  </r>
  <r>
    <n v="3284"/>
    <x v="53"/>
    <x v="1"/>
    <d v="2024-04-19T00:00:00"/>
    <x v="0"/>
    <x v="1"/>
    <x v="1"/>
    <x v="1"/>
    <x v="1"/>
    <x v="1"/>
    <n v="0"/>
    <n v="0"/>
    <n v="5"/>
  </r>
  <r>
    <n v="3285"/>
    <x v="54"/>
    <x v="0"/>
    <d v="2024-04-20T00:00:00"/>
    <x v="1"/>
    <x v="0"/>
    <x v="0"/>
    <x v="0"/>
    <x v="0"/>
    <x v="0"/>
    <n v="20"/>
    <n v="20"/>
    <n v="45"/>
  </r>
  <r>
    <n v="3286"/>
    <x v="55"/>
    <x v="2"/>
    <d v="2024-04-21T00:00:00"/>
    <x v="0"/>
    <x v="2"/>
    <x v="2"/>
    <x v="1"/>
    <x v="1"/>
    <x v="0"/>
    <n v="20"/>
    <n v="15"/>
    <n v="15"/>
  </r>
  <r>
    <n v="3287"/>
    <x v="56"/>
    <x v="1"/>
    <d v="2024-04-22T00:00:00"/>
    <x v="1"/>
    <x v="1"/>
    <x v="0"/>
    <x v="1"/>
    <x v="1"/>
    <x v="1"/>
    <n v="0"/>
    <n v="1"/>
    <n v="4"/>
  </r>
  <r>
    <n v="3288"/>
    <x v="57"/>
    <x v="0"/>
    <d v="2024-04-23T00:00:00"/>
    <x v="0"/>
    <x v="0"/>
    <x v="1"/>
    <x v="0"/>
    <x v="0"/>
    <x v="0"/>
    <n v="20"/>
    <n v="3"/>
    <n v="62"/>
  </r>
  <r>
    <n v="3289"/>
    <x v="58"/>
    <x v="2"/>
    <d v="2024-04-24T00:00:00"/>
    <x v="1"/>
    <x v="2"/>
    <x v="0"/>
    <x v="1"/>
    <x v="1"/>
    <x v="0"/>
    <n v="20"/>
    <n v="10"/>
    <n v="20"/>
  </r>
  <r>
    <n v="3290"/>
    <x v="59"/>
    <x v="1"/>
    <d v="2024-04-25T00:00:00"/>
    <x v="0"/>
    <x v="1"/>
    <x v="2"/>
    <x v="1"/>
    <x v="1"/>
    <x v="1"/>
    <n v="0"/>
    <n v="0"/>
    <n v="5"/>
  </r>
  <r>
    <n v="3291"/>
    <x v="60"/>
    <x v="0"/>
    <d v="2024-04-26T00:00:00"/>
    <x v="1"/>
    <x v="0"/>
    <x v="0"/>
    <x v="0"/>
    <x v="0"/>
    <x v="0"/>
    <n v="20"/>
    <n v="5"/>
    <n v="60"/>
  </r>
  <r>
    <n v="3292"/>
    <x v="61"/>
    <x v="2"/>
    <d v="2024-04-27T00:00:00"/>
    <x v="0"/>
    <x v="2"/>
    <x v="1"/>
    <x v="1"/>
    <x v="1"/>
    <x v="0"/>
    <n v="20"/>
    <n v="15"/>
    <n v="15"/>
  </r>
  <r>
    <n v="3293"/>
    <x v="62"/>
    <x v="1"/>
    <d v="2024-04-28T00:00:00"/>
    <x v="1"/>
    <x v="1"/>
    <x v="0"/>
    <x v="1"/>
    <x v="1"/>
    <x v="1"/>
    <n v="0"/>
    <n v="1"/>
    <n v="4"/>
  </r>
  <r>
    <n v="3294"/>
    <x v="63"/>
    <x v="0"/>
    <d v="2024-04-29T00:00:00"/>
    <x v="0"/>
    <x v="0"/>
    <x v="2"/>
    <x v="0"/>
    <x v="0"/>
    <x v="0"/>
    <n v="20"/>
    <n v="20"/>
    <n v="45"/>
  </r>
  <r>
    <n v="3295"/>
    <x v="64"/>
    <x v="2"/>
    <d v="2024-04-30T00:00:00"/>
    <x v="1"/>
    <x v="2"/>
    <x v="0"/>
    <x v="1"/>
    <x v="1"/>
    <x v="0"/>
    <n v="20"/>
    <n v="5"/>
    <n v="25"/>
  </r>
  <r>
    <n v="3296"/>
    <x v="65"/>
    <x v="1"/>
    <d v="2024-05-01T00:00:00"/>
    <x v="1"/>
    <x v="1"/>
    <x v="0"/>
    <x v="1"/>
    <x v="1"/>
    <x v="1"/>
    <n v="0"/>
    <n v="0"/>
    <n v="5"/>
  </r>
  <r>
    <n v="3297"/>
    <x v="66"/>
    <x v="0"/>
    <d v="2024-05-02T00:00:00"/>
    <x v="0"/>
    <x v="0"/>
    <x v="2"/>
    <x v="0"/>
    <x v="0"/>
    <x v="0"/>
    <n v="20"/>
    <n v="7"/>
    <n v="58"/>
  </r>
  <r>
    <n v="3298"/>
    <x v="67"/>
    <x v="2"/>
    <d v="2024-05-03T00:00:00"/>
    <x v="1"/>
    <x v="2"/>
    <x v="1"/>
    <x v="1"/>
    <x v="1"/>
    <x v="0"/>
    <n v="20"/>
    <n v="10"/>
    <n v="20"/>
  </r>
  <r>
    <n v="3299"/>
    <x v="68"/>
    <x v="1"/>
    <d v="2024-05-04T00:00:00"/>
    <x v="0"/>
    <x v="1"/>
    <x v="2"/>
    <x v="1"/>
    <x v="1"/>
    <x v="1"/>
    <n v="0"/>
    <n v="1"/>
    <n v="4"/>
  </r>
  <r>
    <n v="3300"/>
    <x v="69"/>
    <x v="0"/>
    <d v="2024-05-05T00:00:00"/>
    <x v="1"/>
    <x v="0"/>
    <x v="0"/>
    <x v="0"/>
    <x v="0"/>
    <x v="0"/>
    <n v="20"/>
    <n v="15"/>
    <n v="50"/>
  </r>
  <r>
    <n v="3301"/>
    <x v="70"/>
    <x v="2"/>
    <d v="2024-05-06T00:00:00"/>
    <x v="0"/>
    <x v="2"/>
    <x v="0"/>
    <x v="1"/>
    <x v="1"/>
    <x v="0"/>
    <n v="20"/>
    <n v="5"/>
    <n v="25"/>
  </r>
  <r>
    <n v="3302"/>
    <x v="71"/>
    <x v="1"/>
    <d v="2024-05-07T00:00:00"/>
    <x v="1"/>
    <x v="1"/>
    <x v="1"/>
    <x v="1"/>
    <x v="1"/>
    <x v="1"/>
    <n v="0"/>
    <n v="0"/>
    <n v="5"/>
  </r>
  <r>
    <n v="3303"/>
    <x v="72"/>
    <x v="0"/>
    <d v="2024-05-08T00:00:00"/>
    <x v="0"/>
    <x v="0"/>
    <x v="2"/>
    <x v="0"/>
    <x v="0"/>
    <x v="0"/>
    <n v="20"/>
    <n v="20"/>
    <n v="45"/>
  </r>
  <r>
    <n v="3304"/>
    <x v="73"/>
    <x v="2"/>
    <d v="2024-05-09T00:00:00"/>
    <x v="1"/>
    <x v="2"/>
    <x v="2"/>
    <x v="1"/>
    <x v="1"/>
    <x v="0"/>
    <n v="20"/>
    <n v="12"/>
    <n v="18"/>
  </r>
  <r>
    <n v="3305"/>
    <x v="74"/>
    <x v="1"/>
    <d v="2024-05-10T00:00:00"/>
    <x v="0"/>
    <x v="1"/>
    <x v="0"/>
    <x v="1"/>
    <x v="1"/>
    <x v="1"/>
    <n v="0"/>
    <n v="2"/>
    <n v="3"/>
  </r>
  <r>
    <n v="3306"/>
    <x v="75"/>
    <x v="0"/>
    <d v="2024-05-11T00:00:00"/>
    <x v="1"/>
    <x v="0"/>
    <x v="1"/>
    <x v="0"/>
    <x v="0"/>
    <x v="0"/>
    <n v="20"/>
    <n v="5"/>
    <n v="60"/>
  </r>
  <r>
    <n v="3307"/>
    <x v="76"/>
    <x v="2"/>
    <d v="2024-05-12T00:00:00"/>
    <x v="0"/>
    <x v="2"/>
    <x v="0"/>
    <x v="1"/>
    <x v="1"/>
    <x v="0"/>
    <n v="20"/>
    <n v="10"/>
    <n v="20"/>
  </r>
  <r>
    <n v="3308"/>
    <x v="77"/>
    <x v="1"/>
    <d v="2024-05-13T00:00:00"/>
    <x v="1"/>
    <x v="1"/>
    <x v="2"/>
    <x v="1"/>
    <x v="1"/>
    <x v="1"/>
    <n v="0"/>
    <n v="0"/>
    <n v="5"/>
  </r>
  <r>
    <n v="3309"/>
    <x v="78"/>
    <x v="0"/>
    <d v="2024-05-14T00:00:00"/>
    <x v="0"/>
    <x v="0"/>
    <x v="0"/>
    <x v="0"/>
    <x v="0"/>
    <x v="0"/>
    <n v="20"/>
    <n v="3"/>
    <n v="62"/>
  </r>
  <r>
    <n v="3310"/>
    <x v="79"/>
    <x v="2"/>
    <d v="2024-05-15T00:00:00"/>
    <x v="1"/>
    <x v="2"/>
    <x v="1"/>
    <x v="1"/>
    <x v="1"/>
    <x v="0"/>
    <n v="20"/>
    <n v="15"/>
    <n v="15"/>
  </r>
  <r>
    <n v="3311"/>
    <x v="80"/>
    <x v="1"/>
    <d v="2024-05-16T00:00:00"/>
    <x v="0"/>
    <x v="1"/>
    <x v="0"/>
    <x v="1"/>
    <x v="1"/>
    <x v="1"/>
    <n v="0"/>
    <n v="1"/>
    <n v="4"/>
  </r>
  <r>
    <n v="3312"/>
    <x v="81"/>
    <x v="0"/>
    <d v="2024-05-17T00:00:00"/>
    <x v="1"/>
    <x v="0"/>
    <x v="2"/>
    <x v="0"/>
    <x v="0"/>
    <x v="0"/>
    <n v="20"/>
    <n v="7"/>
    <n v="58"/>
  </r>
  <r>
    <n v="3313"/>
    <x v="82"/>
    <x v="2"/>
    <d v="2024-05-18T00:00:00"/>
    <x v="0"/>
    <x v="2"/>
    <x v="0"/>
    <x v="1"/>
    <x v="1"/>
    <x v="0"/>
    <n v="20"/>
    <n v="10"/>
    <n v="20"/>
  </r>
  <r>
    <n v="3314"/>
    <x v="83"/>
    <x v="1"/>
    <d v="2024-05-19T00:00:00"/>
    <x v="1"/>
    <x v="1"/>
    <x v="1"/>
    <x v="1"/>
    <x v="1"/>
    <x v="1"/>
    <n v="0"/>
    <n v="0"/>
    <n v="5"/>
  </r>
  <r>
    <n v="3315"/>
    <x v="84"/>
    <x v="0"/>
    <d v="2024-05-20T00:00:00"/>
    <x v="0"/>
    <x v="0"/>
    <x v="0"/>
    <x v="0"/>
    <x v="0"/>
    <x v="0"/>
    <n v="20"/>
    <n v="20"/>
    <n v="45"/>
  </r>
  <r>
    <n v="3316"/>
    <x v="85"/>
    <x v="2"/>
    <d v="2024-05-21T00:00:00"/>
    <x v="1"/>
    <x v="2"/>
    <x v="2"/>
    <x v="1"/>
    <x v="1"/>
    <x v="0"/>
    <n v="20"/>
    <n v="15"/>
    <n v="15"/>
  </r>
  <r>
    <n v="3317"/>
    <x v="86"/>
    <x v="1"/>
    <d v="2024-05-22T00:00:00"/>
    <x v="0"/>
    <x v="1"/>
    <x v="0"/>
    <x v="1"/>
    <x v="1"/>
    <x v="1"/>
    <n v="0"/>
    <n v="1"/>
    <n v="4"/>
  </r>
  <r>
    <n v="3318"/>
    <x v="87"/>
    <x v="0"/>
    <d v="2024-05-23T00:00:00"/>
    <x v="1"/>
    <x v="0"/>
    <x v="1"/>
    <x v="0"/>
    <x v="0"/>
    <x v="0"/>
    <n v="20"/>
    <n v="3"/>
    <n v="62"/>
  </r>
  <r>
    <n v="3319"/>
    <x v="88"/>
    <x v="2"/>
    <d v="2024-05-24T00:00:00"/>
    <x v="0"/>
    <x v="2"/>
    <x v="0"/>
    <x v="1"/>
    <x v="1"/>
    <x v="0"/>
    <n v="20"/>
    <n v="10"/>
    <n v="20"/>
  </r>
  <r>
    <n v="3320"/>
    <x v="89"/>
    <x v="1"/>
    <d v="2024-05-25T00:00:00"/>
    <x v="1"/>
    <x v="1"/>
    <x v="2"/>
    <x v="1"/>
    <x v="1"/>
    <x v="1"/>
    <n v="0"/>
    <n v="0"/>
    <n v="5"/>
  </r>
  <r>
    <n v="3321"/>
    <x v="90"/>
    <x v="0"/>
    <d v="2024-05-26T00:00:00"/>
    <x v="0"/>
    <x v="0"/>
    <x v="0"/>
    <x v="0"/>
    <x v="0"/>
    <x v="0"/>
    <n v="20"/>
    <n v="5"/>
    <n v="60"/>
  </r>
  <r>
    <n v="3322"/>
    <x v="91"/>
    <x v="2"/>
    <d v="2024-05-27T00:00:00"/>
    <x v="1"/>
    <x v="2"/>
    <x v="1"/>
    <x v="1"/>
    <x v="1"/>
    <x v="0"/>
    <n v="20"/>
    <n v="15"/>
    <n v="15"/>
  </r>
  <r>
    <n v="3323"/>
    <x v="92"/>
    <x v="1"/>
    <d v="2024-05-28T00:00:00"/>
    <x v="0"/>
    <x v="1"/>
    <x v="0"/>
    <x v="1"/>
    <x v="1"/>
    <x v="1"/>
    <n v="0"/>
    <n v="1"/>
    <n v="4"/>
  </r>
  <r>
    <n v="3324"/>
    <x v="93"/>
    <x v="0"/>
    <d v="2024-05-29T00:00:00"/>
    <x v="1"/>
    <x v="0"/>
    <x v="2"/>
    <x v="0"/>
    <x v="0"/>
    <x v="0"/>
    <n v="20"/>
    <n v="20"/>
    <n v="45"/>
  </r>
  <r>
    <n v="3325"/>
    <x v="94"/>
    <x v="2"/>
    <d v="2024-05-30T00:00:00"/>
    <x v="0"/>
    <x v="2"/>
    <x v="2"/>
    <x v="1"/>
    <x v="1"/>
    <x v="0"/>
    <n v="20"/>
    <n v="15"/>
    <n v="15"/>
  </r>
  <r>
    <n v="3326"/>
    <x v="95"/>
    <x v="1"/>
    <d v="2024-05-31T00:00:00"/>
    <x v="1"/>
    <x v="1"/>
    <x v="1"/>
    <x v="1"/>
    <x v="1"/>
    <x v="1"/>
    <n v="0"/>
    <n v="0"/>
    <n v="5"/>
  </r>
  <r>
    <n v="3327"/>
    <x v="96"/>
    <x v="0"/>
    <d v="2024-06-01T00:00:00"/>
    <x v="0"/>
    <x v="0"/>
    <x v="0"/>
    <x v="0"/>
    <x v="0"/>
    <x v="0"/>
    <n v="20"/>
    <n v="7"/>
    <n v="58"/>
  </r>
  <r>
    <n v="3328"/>
    <x v="97"/>
    <x v="2"/>
    <d v="2024-06-02T00:00:00"/>
    <x v="1"/>
    <x v="2"/>
    <x v="1"/>
    <x v="1"/>
    <x v="1"/>
    <x v="0"/>
    <n v="20"/>
    <n v="10"/>
    <n v="20"/>
  </r>
  <r>
    <n v="3329"/>
    <x v="98"/>
    <x v="1"/>
    <d v="2024-06-03T00:00:00"/>
    <x v="0"/>
    <x v="1"/>
    <x v="2"/>
    <x v="1"/>
    <x v="1"/>
    <x v="1"/>
    <n v="0"/>
    <n v="1"/>
    <n v="4"/>
  </r>
  <r>
    <n v="3330"/>
    <x v="99"/>
    <x v="0"/>
    <d v="2024-06-04T00:00:00"/>
    <x v="1"/>
    <x v="0"/>
    <x v="0"/>
    <x v="0"/>
    <x v="0"/>
    <x v="0"/>
    <n v="20"/>
    <n v="15"/>
    <n v="50"/>
  </r>
  <r>
    <n v="3331"/>
    <x v="100"/>
    <x v="2"/>
    <d v="2024-06-05T00:00:00"/>
    <x v="0"/>
    <x v="2"/>
    <x v="0"/>
    <x v="1"/>
    <x v="1"/>
    <x v="0"/>
    <n v="20"/>
    <n v="5"/>
    <n v="25"/>
  </r>
  <r>
    <n v="3332"/>
    <x v="101"/>
    <x v="1"/>
    <d v="2024-06-06T00:00:00"/>
    <x v="1"/>
    <x v="1"/>
    <x v="1"/>
    <x v="1"/>
    <x v="1"/>
    <x v="1"/>
    <n v="0"/>
    <n v="0"/>
    <n v="5"/>
  </r>
  <r>
    <n v="3333"/>
    <x v="102"/>
    <x v="0"/>
    <d v="2024-06-07T00:00:00"/>
    <x v="0"/>
    <x v="0"/>
    <x v="2"/>
    <x v="0"/>
    <x v="0"/>
    <x v="0"/>
    <n v="20"/>
    <n v="20"/>
    <n v="45"/>
  </r>
  <r>
    <n v="3334"/>
    <x v="103"/>
    <x v="2"/>
    <d v="2024-06-08T00:00:00"/>
    <x v="1"/>
    <x v="2"/>
    <x v="2"/>
    <x v="1"/>
    <x v="1"/>
    <x v="0"/>
    <n v="20"/>
    <n v="12"/>
    <n v="18"/>
  </r>
  <r>
    <n v="3335"/>
    <x v="104"/>
    <x v="1"/>
    <d v="2024-06-09T00:00:00"/>
    <x v="0"/>
    <x v="1"/>
    <x v="0"/>
    <x v="1"/>
    <x v="1"/>
    <x v="1"/>
    <n v="0"/>
    <n v="2"/>
    <n v="3"/>
  </r>
  <r>
    <n v="3336"/>
    <x v="105"/>
    <x v="1"/>
    <d v="2024-06-10T00:00:00"/>
    <x v="0"/>
    <x v="1"/>
    <x v="0"/>
    <x v="1"/>
    <x v="1"/>
    <x v="1"/>
    <n v="0"/>
    <n v="0"/>
    <n v="5"/>
  </r>
  <r>
    <n v="3337"/>
    <x v="106"/>
    <x v="0"/>
    <d v="2024-06-11T00:00:00"/>
    <x v="1"/>
    <x v="0"/>
    <x v="2"/>
    <x v="0"/>
    <x v="0"/>
    <x v="0"/>
    <n v="20"/>
    <n v="7"/>
    <n v="58"/>
  </r>
  <r>
    <n v="3338"/>
    <x v="107"/>
    <x v="2"/>
    <d v="2024-06-12T00:00:00"/>
    <x v="0"/>
    <x v="2"/>
    <x v="1"/>
    <x v="1"/>
    <x v="1"/>
    <x v="0"/>
    <n v="20"/>
    <n v="10"/>
    <n v="20"/>
  </r>
  <r>
    <n v="3339"/>
    <x v="108"/>
    <x v="1"/>
    <d v="2024-06-13T00:00:00"/>
    <x v="1"/>
    <x v="1"/>
    <x v="2"/>
    <x v="1"/>
    <x v="1"/>
    <x v="1"/>
    <n v="0"/>
    <n v="1"/>
    <n v="4"/>
  </r>
  <r>
    <n v="3340"/>
    <x v="109"/>
    <x v="0"/>
    <d v="2024-06-14T00:00:00"/>
    <x v="0"/>
    <x v="0"/>
    <x v="0"/>
    <x v="0"/>
    <x v="0"/>
    <x v="0"/>
    <n v="20"/>
    <n v="15"/>
    <n v="50"/>
  </r>
  <r>
    <n v="3341"/>
    <x v="110"/>
    <x v="2"/>
    <d v="2024-06-15T00:00:00"/>
    <x v="1"/>
    <x v="2"/>
    <x v="0"/>
    <x v="1"/>
    <x v="1"/>
    <x v="0"/>
    <n v="20"/>
    <n v="5"/>
    <n v="25"/>
  </r>
  <r>
    <n v="3342"/>
    <x v="111"/>
    <x v="1"/>
    <d v="2024-06-16T00:00:00"/>
    <x v="0"/>
    <x v="1"/>
    <x v="1"/>
    <x v="1"/>
    <x v="1"/>
    <x v="1"/>
    <n v="0"/>
    <n v="0"/>
    <n v="5"/>
  </r>
  <r>
    <n v="3343"/>
    <x v="112"/>
    <x v="0"/>
    <d v="2024-06-17T00:00:00"/>
    <x v="1"/>
    <x v="0"/>
    <x v="2"/>
    <x v="0"/>
    <x v="0"/>
    <x v="0"/>
    <n v="20"/>
    <n v="20"/>
    <n v="45"/>
  </r>
  <r>
    <n v="3344"/>
    <x v="113"/>
    <x v="2"/>
    <d v="2024-06-18T00:00:00"/>
    <x v="0"/>
    <x v="2"/>
    <x v="2"/>
    <x v="1"/>
    <x v="1"/>
    <x v="0"/>
    <n v="20"/>
    <n v="12"/>
    <n v="18"/>
  </r>
  <r>
    <n v="3345"/>
    <x v="114"/>
    <x v="1"/>
    <d v="2024-06-19T00:00:00"/>
    <x v="1"/>
    <x v="1"/>
    <x v="0"/>
    <x v="1"/>
    <x v="1"/>
    <x v="1"/>
    <n v="0"/>
    <n v="2"/>
    <n v="3"/>
  </r>
  <r>
    <n v="3346"/>
    <x v="115"/>
    <x v="0"/>
    <d v="2024-06-20T00:00:00"/>
    <x v="0"/>
    <x v="0"/>
    <x v="1"/>
    <x v="0"/>
    <x v="0"/>
    <x v="0"/>
    <n v="20"/>
    <n v="5"/>
    <n v="60"/>
  </r>
  <r>
    <n v="3347"/>
    <x v="116"/>
    <x v="2"/>
    <d v="2024-06-21T00:00:00"/>
    <x v="1"/>
    <x v="2"/>
    <x v="0"/>
    <x v="1"/>
    <x v="1"/>
    <x v="0"/>
    <n v="20"/>
    <n v="10"/>
    <n v="20"/>
  </r>
  <r>
    <n v="3348"/>
    <x v="117"/>
    <x v="1"/>
    <d v="2024-06-22T00:00:00"/>
    <x v="0"/>
    <x v="1"/>
    <x v="2"/>
    <x v="1"/>
    <x v="1"/>
    <x v="1"/>
    <n v="0"/>
    <n v="0"/>
    <n v="5"/>
  </r>
  <r>
    <n v="3349"/>
    <x v="93"/>
    <x v="0"/>
    <d v="2024-06-23T00:00:00"/>
    <x v="1"/>
    <x v="0"/>
    <x v="0"/>
    <x v="0"/>
    <x v="0"/>
    <x v="0"/>
    <n v="20"/>
    <n v="3"/>
    <n v="62"/>
  </r>
  <r>
    <n v="3350"/>
    <x v="118"/>
    <x v="2"/>
    <d v="2024-06-24T00:00:00"/>
    <x v="0"/>
    <x v="2"/>
    <x v="1"/>
    <x v="1"/>
    <x v="1"/>
    <x v="0"/>
    <n v="20"/>
    <n v="15"/>
    <n v="15"/>
  </r>
  <r>
    <n v="3351"/>
    <x v="119"/>
    <x v="1"/>
    <d v="2024-06-25T00:00:00"/>
    <x v="1"/>
    <x v="1"/>
    <x v="0"/>
    <x v="1"/>
    <x v="1"/>
    <x v="1"/>
    <n v="0"/>
    <n v="1"/>
    <n v="4"/>
  </r>
  <r>
    <n v="3352"/>
    <x v="120"/>
    <x v="0"/>
    <d v="2024-06-26T00:00:00"/>
    <x v="0"/>
    <x v="0"/>
    <x v="2"/>
    <x v="0"/>
    <x v="0"/>
    <x v="0"/>
    <n v="20"/>
    <n v="7"/>
    <n v="58"/>
  </r>
  <r>
    <n v="3353"/>
    <x v="121"/>
    <x v="2"/>
    <d v="2024-06-27T00:00:00"/>
    <x v="1"/>
    <x v="2"/>
    <x v="0"/>
    <x v="1"/>
    <x v="1"/>
    <x v="0"/>
    <n v="20"/>
    <n v="10"/>
    <n v="20"/>
  </r>
  <r>
    <n v="3354"/>
    <x v="122"/>
    <x v="1"/>
    <d v="2024-06-28T00:00:00"/>
    <x v="0"/>
    <x v="1"/>
    <x v="1"/>
    <x v="1"/>
    <x v="1"/>
    <x v="1"/>
    <n v="0"/>
    <n v="0"/>
    <n v="5"/>
  </r>
  <r>
    <n v="3355"/>
    <x v="123"/>
    <x v="0"/>
    <d v="2024-06-29T00:00:00"/>
    <x v="1"/>
    <x v="0"/>
    <x v="0"/>
    <x v="0"/>
    <x v="0"/>
    <x v="0"/>
    <n v="20"/>
    <n v="20"/>
    <n v="45"/>
  </r>
  <r>
    <n v="3356"/>
    <x v="124"/>
    <x v="2"/>
    <d v="2024-06-30T00:00:00"/>
    <x v="0"/>
    <x v="2"/>
    <x v="2"/>
    <x v="1"/>
    <x v="1"/>
    <x v="0"/>
    <n v="20"/>
    <n v="15"/>
    <n v="15"/>
  </r>
  <r>
    <n v="3357"/>
    <x v="125"/>
    <x v="1"/>
    <d v="2024-07-01T00:00:00"/>
    <x v="1"/>
    <x v="1"/>
    <x v="0"/>
    <x v="1"/>
    <x v="1"/>
    <x v="1"/>
    <n v="0"/>
    <n v="1"/>
    <n v="4"/>
  </r>
  <r>
    <n v="3358"/>
    <x v="126"/>
    <x v="0"/>
    <d v="2024-07-02T00:00:00"/>
    <x v="0"/>
    <x v="0"/>
    <x v="1"/>
    <x v="0"/>
    <x v="0"/>
    <x v="0"/>
    <n v="20"/>
    <n v="3"/>
    <n v="62"/>
  </r>
  <r>
    <n v="3359"/>
    <x v="127"/>
    <x v="2"/>
    <d v="2024-07-03T00:00:00"/>
    <x v="1"/>
    <x v="2"/>
    <x v="0"/>
    <x v="1"/>
    <x v="1"/>
    <x v="0"/>
    <n v="20"/>
    <n v="10"/>
    <n v="20"/>
  </r>
  <r>
    <n v="3360"/>
    <x v="128"/>
    <x v="1"/>
    <d v="2024-07-04T00:00:00"/>
    <x v="0"/>
    <x v="1"/>
    <x v="2"/>
    <x v="1"/>
    <x v="1"/>
    <x v="1"/>
    <n v="0"/>
    <n v="0"/>
    <n v="5"/>
  </r>
  <r>
    <n v="3361"/>
    <x v="129"/>
    <x v="0"/>
    <d v="2024-07-05T00:00:00"/>
    <x v="1"/>
    <x v="0"/>
    <x v="0"/>
    <x v="0"/>
    <x v="0"/>
    <x v="0"/>
    <n v="20"/>
    <n v="15"/>
    <n v="50"/>
  </r>
  <r>
    <n v="3362"/>
    <x v="130"/>
    <x v="2"/>
    <d v="2024-07-06T00:00:00"/>
    <x v="0"/>
    <x v="2"/>
    <x v="1"/>
    <x v="1"/>
    <x v="1"/>
    <x v="0"/>
    <n v="20"/>
    <n v="15"/>
    <n v="15"/>
  </r>
  <r>
    <n v="3363"/>
    <x v="131"/>
    <x v="1"/>
    <d v="2024-07-07T00:00:00"/>
    <x v="1"/>
    <x v="1"/>
    <x v="0"/>
    <x v="1"/>
    <x v="1"/>
    <x v="1"/>
    <n v="0"/>
    <n v="1"/>
    <n v="4"/>
  </r>
  <r>
    <n v="3364"/>
    <x v="132"/>
    <x v="0"/>
    <d v="2024-07-08T00:00:00"/>
    <x v="0"/>
    <x v="0"/>
    <x v="2"/>
    <x v="0"/>
    <x v="0"/>
    <x v="0"/>
    <n v="20"/>
    <n v="7"/>
    <n v="58"/>
  </r>
  <r>
    <n v="3365"/>
    <x v="133"/>
    <x v="2"/>
    <d v="2024-07-09T00:00:00"/>
    <x v="1"/>
    <x v="2"/>
    <x v="0"/>
    <x v="1"/>
    <x v="1"/>
    <x v="0"/>
    <n v="20"/>
    <n v="10"/>
    <n v="20"/>
  </r>
  <r>
    <n v="3366"/>
    <x v="134"/>
    <x v="1"/>
    <d v="2024-07-10T00:00:00"/>
    <x v="0"/>
    <x v="1"/>
    <x v="0"/>
    <x v="1"/>
    <x v="1"/>
    <x v="1"/>
    <n v="0"/>
    <n v="0"/>
    <n v="5"/>
  </r>
  <r>
    <n v="3367"/>
    <x v="135"/>
    <x v="0"/>
    <d v="2024-07-11T00:00:00"/>
    <x v="1"/>
    <x v="0"/>
    <x v="2"/>
    <x v="0"/>
    <x v="0"/>
    <x v="0"/>
    <n v="20"/>
    <n v="7"/>
    <n v="58"/>
  </r>
  <r>
    <n v="3368"/>
    <x v="136"/>
    <x v="2"/>
    <d v="2024-07-12T00:00:00"/>
    <x v="0"/>
    <x v="2"/>
    <x v="1"/>
    <x v="1"/>
    <x v="1"/>
    <x v="0"/>
    <n v="20"/>
    <n v="10"/>
    <n v="20"/>
  </r>
  <r>
    <n v="3369"/>
    <x v="137"/>
    <x v="1"/>
    <d v="2024-07-13T00:00:00"/>
    <x v="1"/>
    <x v="1"/>
    <x v="2"/>
    <x v="1"/>
    <x v="1"/>
    <x v="1"/>
    <n v="0"/>
    <n v="1"/>
    <n v="4"/>
  </r>
  <r>
    <n v="3370"/>
    <x v="138"/>
    <x v="0"/>
    <d v="2024-07-14T00:00:00"/>
    <x v="0"/>
    <x v="0"/>
    <x v="0"/>
    <x v="0"/>
    <x v="0"/>
    <x v="0"/>
    <n v="20"/>
    <n v="15"/>
    <n v="50"/>
  </r>
  <r>
    <n v="3371"/>
    <x v="139"/>
    <x v="2"/>
    <d v="2024-07-15T00:00:00"/>
    <x v="1"/>
    <x v="2"/>
    <x v="0"/>
    <x v="1"/>
    <x v="1"/>
    <x v="0"/>
    <n v="20"/>
    <n v="5"/>
    <n v="25"/>
  </r>
  <r>
    <n v="3372"/>
    <x v="140"/>
    <x v="1"/>
    <d v="2024-07-16T00:00:00"/>
    <x v="0"/>
    <x v="1"/>
    <x v="1"/>
    <x v="1"/>
    <x v="1"/>
    <x v="1"/>
    <n v="0"/>
    <n v="0"/>
    <n v="5"/>
  </r>
  <r>
    <n v="3373"/>
    <x v="141"/>
    <x v="0"/>
    <d v="2024-07-17T00:00:00"/>
    <x v="1"/>
    <x v="0"/>
    <x v="2"/>
    <x v="0"/>
    <x v="0"/>
    <x v="0"/>
    <n v="20"/>
    <n v="20"/>
    <n v="45"/>
  </r>
  <r>
    <n v="3374"/>
    <x v="142"/>
    <x v="2"/>
    <d v="2024-07-18T00:00:00"/>
    <x v="0"/>
    <x v="2"/>
    <x v="2"/>
    <x v="1"/>
    <x v="1"/>
    <x v="0"/>
    <n v="20"/>
    <n v="12"/>
    <n v="18"/>
  </r>
  <r>
    <n v="3375"/>
    <x v="143"/>
    <x v="1"/>
    <d v="2024-07-19T00:00:00"/>
    <x v="1"/>
    <x v="1"/>
    <x v="0"/>
    <x v="1"/>
    <x v="1"/>
    <x v="1"/>
    <n v="0"/>
    <n v="2"/>
    <n v="3"/>
  </r>
  <r>
    <n v="3376"/>
    <x v="144"/>
    <x v="0"/>
    <d v="2024-07-20T00:00:00"/>
    <x v="0"/>
    <x v="0"/>
    <x v="1"/>
    <x v="0"/>
    <x v="0"/>
    <x v="0"/>
    <n v="20"/>
    <n v="5"/>
    <n v="60"/>
  </r>
  <r>
    <n v="3377"/>
    <x v="145"/>
    <x v="2"/>
    <d v="2024-07-21T00:00:00"/>
    <x v="1"/>
    <x v="2"/>
    <x v="0"/>
    <x v="1"/>
    <x v="1"/>
    <x v="0"/>
    <n v="20"/>
    <n v="10"/>
    <n v="20"/>
  </r>
  <r>
    <n v="3378"/>
    <x v="146"/>
    <x v="1"/>
    <d v="2024-07-22T00:00:00"/>
    <x v="0"/>
    <x v="1"/>
    <x v="2"/>
    <x v="1"/>
    <x v="1"/>
    <x v="1"/>
    <n v="0"/>
    <n v="0"/>
    <n v="5"/>
  </r>
  <r>
    <n v="3379"/>
    <x v="147"/>
    <x v="0"/>
    <d v="2024-07-23T00:00:00"/>
    <x v="1"/>
    <x v="0"/>
    <x v="0"/>
    <x v="0"/>
    <x v="0"/>
    <x v="0"/>
    <n v="20"/>
    <n v="3"/>
    <n v="62"/>
  </r>
  <r>
    <n v="3380"/>
    <x v="148"/>
    <x v="2"/>
    <d v="2024-07-24T00:00:00"/>
    <x v="0"/>
    <x v="2"/>
    <x v="1"/>
    <x v="1"/>
    <x v="1"/>
    <x v="0"/>
    <n v="20"/>
    <n v="15"/>
    <n v="15"/>
  </r>
  <r>
    <n v="3381"/>
    <x v="149"/>
    <x v="1"/>
    <d v="2024-07-25T00:00:00"/>
    <x v="1"/>
    <x v="1"/>
    <x v="0"/>
    <x v="1"/>
    <x v="1"/>
    <x v="1"/>
    <n v="0"/>
    <n v="1"/>
    <n v="4"/>
  </r>
  <r>
    <n v="3382"/>
    <x v="150"/>
    <x v="0"/>
    <d v="2024-07-26T00:00:00"/>
    <x v="0"/>
    <x v="0"/>
    <x v="2"/>
    <x v="0"/>
    <x v="0"/>
    <x v="0"/>
    <n v="20"/>
    <n v="7"/>
    <n v="58"/>
  </r>
  <r>
    <n v="3383"/>
    <x v="151"/>
    <x v="2"/>
    <d v="2024-07-27T00:00:00"/>
    <x v="1"/>
    <x v="2"/>
    <x v="0"/>
    <x v="1"/>
    <x v="1"/>
    <x v="0"/>
    <n v="20"/>
    <n v="10"/>
    <n v="20"/>
  </r>
  <r>
    <n v="3384"/>
    <x v="152"/>
    <x v="1"/>
    <d v="2024-07-28T00:00:00"/>
    <x v="0"/>
    <x v="1"/>
    <x v="1"/>
    <x v="1"/>
    <x v="1"/>
    <x v="1"/>
    <n v="0"/>
    <n v="0"/>
    <n v="5"/>
  </r>
  <r>
    <n v="3385"/>
    <x v="153"/>
    <x v="0"/>
    <d v="2024-07-29T00:00:00"/>
    <x v="1"/>
    <x v="0"/>
    <x v="0"/>
    <x v="0"/>
    <x v="0"/>
    <x v="0"/>
    <n v="20"/>
    <n v="20"/>
    <n v="45"/>
  </r>
  <r>
    <n v="3386"/>
    <x v="154"/>
    <x v="2"/>
    <d v="2024-07-30T00:00:00"/>
    <x v="0"/>
    <x v="2"/>
    <x v="2"/>
    <x v="1"/>
    <x v="1"/>
    <x v="0"/>
    <n v="20"/>
    <n v="15"/>
    <n v="15"/>
  </r>
  <r>
    <n v="3387"/>
    <x v="155"/>
    <x v="1"/>
    <d v="2024-07-31T00:00:00"/>
    <x v="1"/>
    <x v="1"/>
    <x v="0"/>
    <x v="1"/>
    <x v="1"/>
    <x v="1"/>
    <n v="0"/>
    <n v="1"/>
    <n v="4"/>
  </r>
  <r>
    <n v="3388"/>
    <x v="156"/>
    <x v="0"/>
    <d v="2024-08-01T00:00:00"/>
    <x v="0"/>
    <x v="0"/>
    <x v="1"/>
    <x v="0"/>
    <x v="0"/>
    <x v="0"/>
    <n v="20"/>
    <n v="3"/>
    <n v="62"/>
  </r>
  <r>
    <n v="3389"/>
    <x v="157"/>
    <x v="2"/>
    <d v="2024-08-02T00:00:00"/>
    <x v="1"/>
    <x v="2"/>
    <x v="0"/>
    <x v="1"/>
    <x v="1"/>
    <x v="0"/>
    <n v="20"/>
    <n v="10"/>
    <n v="20"/>
  </r>
  <r>
    <n v="3390"/>
    <x v="158"/>
    <x v="1"/>
    <d v="2024-08-03T00:00:00"/>
    <x v="0"/>
    <x v="1"/>
    <x v="2"/>
    <x v="1"/>
    <x v="1"/>
    <x v="1"/>
    <n v="0"/>
    <n v="0"/>
    <n v="5"/>
  </r>
  <r>
    <n v="3391"/>
    <x v="58"/>
    <x v="0"/>
    <d v="2024-08-04T00:00:00"/>
    <x v="1"/>
    <x v="0"/>
    <x v="0"/>
    <x v="0"/>
    <x v="0"/>
    <x v="0"/>
    <n v="20"/>
    <n v="15"/>
    <n v="50"/>
  </r>
  <r>
    <n v="3392"/>
    <x v="159"/>
    <x v="2"/>
    <d v="2024-08-05T00:00:00"/>
    <x v="0"/>
    <x v="2"/>
    <x v="1"/>
    <x v="1"/>
    <x v="1"/>
    <x v="0"/>
    <n v="20"/>
    <n v="15"/>
    <n v="15"/>
  </r>
  <r>
    <n v="3393"/>
    <x v="160"/>
    <x v="1"/>
    <d v="2024-08-06T00:00:00"/>
    <x v="1"/>
    <x v="1"/>
    <x v="0"/>
    <x v="1"/>
    <x v="1"/>
    <x v="1"/>
    <n v="0"/>
    <n v="1"/>
    <n v="4"/>
  </r>
  <r>
    <n v="3394"/>
    <x v="161"/>
    <x v="0"/>
    <d v="2024-08-07T00:00:00"/>
    <x v="0"/>
    <x v="0"/>
    <x v="2"/>
    <x v="0"/>
    <x v="0"/>
    <x v="0"/>
    <n v="20"/>
    <n v="7"/>
    <n v="58"/>
  </r>
  <r>
    <n v="3395"/>
    <x v="162"/>
    <x v="2"/>
    <d v="2024-08-08T00:00:00"/>
    <x v="1"/>
    <x v="2"/>
    <x v="0"/>
    <x v="1"/>
    <x v="1"/>
    <x v="0"/>
    <n v="20"/>
    <n v="10"/>
    <n v="20"/>
  </r>
  <r>
    <n v="3396"/>
    <x v="163"/>
    <x v="1"/>
    <d v="2024-08-09T00:00:00"/>
    <x v="0"/>
    <x v="1"/>
    <x v="1"/>
    <x v="1"/>
    <x v="1"/>
    <x v="1"/>
    <n v="0"/>
    <n v="0"/>
    <n v="5"/>
  </r>
  <r>
    <n v="3397"/>
    <x v="90"/>
    <x v="0"/>
    <d v="2024-08-10T00:00:00"/>
    <x v="1"/>
    <x v="0"/>
    <x v="0"/>
    <x v="0"/>
    <x v="0"/>
    <x v="0"/>
    <n v="20"/>
    <n v="20"/>
    <n v="45"/>
  </r>
  <r>
    <n v="3398"/>
    <x v="164"/>
    <x v="2"/>
    <d v="2024-08-11T00:00:00"/>
    <x v="0"/>
    <x v="2"/>
    <x v="2"/>
    <x v="1"/>
    <x v="1"/>
    <x v="0"/>
    <n v="20"/>
    <n v="15"/>
    <n v="15"/>
  </r>
  <r>
    <n v="3399"/>
    <x v="165"/>
    <x v="1"/>
    <d v="2024-08-12T00:00:00"/>
    <x v="1"/>
    <x v="1"/>
    <x v="0"/>
    <x v="1"/>
    <x v="1"/>
    <x v="1"/>
    <n v="0"/>
    <n v="1"/>
    <n v="4"/>
  </r>
  <r>
    <n v="3400"/>
    <x v="166"/>
    <x v="0"/>
    <d v="2024-08-13T00:00:00"/>
    <x v="0"/>
    <x v="0"/>
    <x v="1"/>
    <x v="0"/>
    <x v="0"/>
    <x v="0"/>
    <n v="20"/>
    <n v="5"/>
    <n v="60"/>
  </r>
  <r>
    <n v="3401"/>
    <x v="167"/>
    <x v="2"/>
    <d v="2024-08-14T00:00:00"/>
    <x v="1"/>
    <x v="2"/>
    <x v="0"/>
    <x v="1"/>
    <x v="1"/>
    <x v="0"/>
    <n v="20"/>
    <n v="10"/>
    <n v="20"/>
  </r>
  <r>
    <n v="3402"/>
    <x v="168"/>
    <x v="1"/>
    <d v="2024-08-15T00:00:00"/>
    <x v="0"/>
    <x v="1"/>
    <x v="2"/>
    <x v="1"/>
    <x v="1"/>
    <x v="1"/>
    <n v="0"/>
    <n v="0"/>
    <n v="5"/>
  </r>
  <r>
    <n v="3403"/>
    <x v="169"/>
    <x v="0"/>
    <d v="2024-08-16T00:00:00"/>
    <x v="1"/>
    <x v="0"/>
    <x v="0"/>
    <x v="0"/>
    <x v="0"/>
    <x v="0"/>
    <n v="20"/>
    <n v="3"/>
    <n v="62"/>
  </r>
  <r>
    <n v="3404"/>
    <x v="170"/>
    <x v="2"/>
    <d v="2024-08-17T00:00:00"/>
    <x v="0"/>
    <x v="2"/>
    <x v="1"/>
    <x v="1"/>
    <x v="1"/>
    <x v="0"/>
    <n v="20"/>
    <n v="15"/>
    <n v="15"/>
  </r>
  <r>
    <n v="3405"/>
    <x v="171"/>
    <x v="1"/>
    <d v="2024-08-18T00:00:00"/>
    <x v="1"/>
    <x v="1"/>
    <x v="0"/>
    <x v="1"/>
    <x v="1"/>
    <x v="1"/>
    <n v="0"/>
    <n v="1"/>
    <n v="4"/>
  </r>
  <r>
    <n v="3406"/>
    <x v="172"/>
    <x v="1"/>
    <d v="2024-08-19T00:00:00"/>
    <x v="0"/>
    <x v="1"/>
    <x v="0"/>
    <x v="1"/>
    <x v="1"/>
    <x v="1"/>
    <n v="0"/>
    <n v="0"/>
    <n v="5"/>
  </r>
  <r>
    <n v="3407"/>
    <x v="173"/>
    <x v="0"/>
    <d v="2024-08-20T00:00:00"/>
    <x v="1"/>
    <x v="0"/>
    <x v="2"/>
    <x v="0"/>
    <x v="0"/>
    <x v="0"/>
    <n v="20"/>
    <n v="7"/>
    <n v="58"/>
  </r>
  <r>
    <n v="3408"/>
    <x v="174"/>
    <x v="2"/>
    <d v="2024-08-21T00:00:00"/>
    <x v="0"/>
    <x v="2"/>
    <x v="1"/>
    <x v="1"/>
    <x v="1"/>
    <x v="0"/>
    <n v="20"/>
    <n v="10"/>
    <n v="20"/>
  </r>
  <r>
    <n v="3409"/>
    <x v="175"/>
    <x v="1"/>
    <d v="2024-08-22T00:00:00"/>
    <x v="1"/>
    <x v="1"/>
    <x v="2"/>
    <x v="1"/>
    <x v="1"/>
    <x v="1"/>
    <n v="0"/>
    <n v="1"/>
    <n v="4"/>
  </r>
  <r>
    <n v="3410"/>
    <x v="176"/>
    <x v="0"/>
    <d v="2024-08-23T00:00:00"/>
    <x v="0"/>
    <x v="0"/>
    <x v="0"/>
    <x v="0"/>
    <x v="0"/>
    <x v="0"/>
    <n v="20"/>
    <n v="15"/>
    <n v="50"/>
  </r>
  <r>
    <n v="3411"/>
    <x v="177"/>
    <x v="2"/>
    <d v="2024-08-24T00:00:00"/>
    <x v="1"/>
    <x v="2"/>
    <x v="0"/>
    <x v="1"/>
    <x v="1"/>
    <x v="0"/>
    <n v="20"/>
    <n v="5"/>
    <n v="25"/>
  </r>
  <r>
    <n v="3412"/>
    <x v="178"/>
    <x v="1"/>
    <d v="2024-08-25T00:00:00"/>
    <x v="0"/>
    <x v="1"/>
    <x v="1"/>
    <x v="1"/>
    <x v="1"/>
    <x v="1"/>
    <n v="0"/>
    <n v="0"/>
    <n v="5"/>
  </r>
  <r>
    <n v="3413"/>
    <x v="179"/>
    <x v="0"/>
    <d v="2024-08-26T00:00:00"/>
    <x v="1"/>
    <x v="0"/>
    <x v="2"/>
    <x v="0"/>
    <x v="0"/>
    <x v="0"/>
    <n v="20"/>
    <n v="20"/>
    <n v="45"/>
  </r>
  <r>
    <n v="3414"/>
    <x v="180"/>
    <x v="2"/>
    <d v="2024-08-27T00:00:00"/>
    <x v="0"/>
    <x v="2"/>
    <x v="2"/>
    <x v="1"/>
    <x v="1"/>
    <x v="0"/>
    <n v="20"/>
    <n v="12"/>
    <n v="18"/>
  </r>
  <r>
    <n v="3415"/>
    <x v="181"/>
    <x v="1"/>
    <d v="2024-08-28T00:00:00"/>
    <x v="1"/>
    <x v="1"/>
    <x v="0"/>
    <x v="1"/>
    <x v="1"/>
    <x v="1"/>
    <n v="0"/>
    <n v="2"/>
    <n v="3"/>
  </r>
  <r>
    <n v="3416"/>
    <x v="182"/>
    <x v="0"/>
    <d v="2024-08-29T00:00:00"/>
    <x v="0"/>
    <x v="0"/>
    <x v="1"/>
    <x v="0"/>
    <x v="0"/>
    <x v="0"/>
    <n v="20"/>
    <n v="5"/>
    <n v="60"/>
  </r>
  <r>
    <n v="3417"/>
    <x v="183"/>
    <x v="2"/>
    <d v="2024-08-30T00:00:00"/>
    <x v="1"/>
    <x v="2"/>
    <x v="0"/>
    <x v="1"/>
    <x v="1"/>
    <x v="0"/>
    <n v="20"/>
    <n v="10"/>
    <n v="20"/>
  </r>
  <r>
    <n v="3418"/>
    <x v="184"/>
    <x v="1"/>
    <d v="2024-08-31T00:00:00"/>
    <x v="0"/>
    <x v="1"/>
    <x v="2"/>
    <x v="1"/>
    <x v="1"/>
    <x v="1"/>
    <n v="0"/>
    <n v="0"/>
    <n v="5"/>
  </r>
  <r>
    <n v="3419"/>
    <x v="185"/>
    <x v="0"/>
    <d v="2024-09-01T00:00:00"/>
    <x v="1"/>
    <x v="0"/>
    <x v="0"/>
    <x v="0"/>
    <x v="0"/>
    <x v="0"/>
    <n v="20"/>
    <n v="3"/>
    <n v="62"/>
  </r>
  <r>
    <n v="3420"/>
    <x v="186"/>
    <x v="2"/>
    <d v="2024-09-02T00:00:00"/>
    <x v="0"/>
    <x v="2"/>
    <x v="1"/>
    <x v="1"/>
    <x v="1"/>
    <x v="0"/>
    <n v="20"/>
    <n v="15"/>
    <n v="15"/>
  </r>
  <r>
    <n v="3421"/>
    <x v="15"/>
    <x v="1"/>
    <d v="2024-09-03T00:00:00"/>
    <x v="1"/>
    <x v="1"/>
    <x v="0"/>
    <x v="1"/>
    <x v="1"/>
    <x v="1"/>
    <n v="0"/>
    <n v="1"/>
    <n v="4"/>
  </r>
  <r>
    <n v="3422"/>
    <x v="187"/>
    <x v="0"/>
    <d v="2024-09-04T00:00:00"/>
    <x v="0"/>
    <x v="0"/>
    <x v="2"/>
    <x v="0"/>
    <x v="0"/>
    <x v="0"/>
    <n v="20"/>
    <n v="7"/>
    <n v="58"/>
  </r>
  <r>
    <n v="3423"/>
    <x v="188"/>
    <x v="2"/>
    <d v="2024-09-05T00:00:00"/>
    <x v="1"/>
    <x v="2"/>
    <x v="0"/>
    <x v="1"/>
    <x v="1"/>
    <x v="0"/>
    <n v="20"/>
    <n v="10"/>
    <n v="20"/>
  </r>
  <r>
    <n v="3424"/>
    <x v="14"/>
    <x v="1"/>
    <d v="2024-09-06T00:00:00"/>
    <x v="0"/>
    <x v="1"/>
    <x v="1"/>
    <x v="1"/>
    <x v="1"/>
    <x v="1"/>
    <n v="0"/>
    <n v="0"/>
    <n v="5"/>
  </r>
  <r>
    <n v="3425"/>
    <x v="189"/>
    <x v="0"/>
    <d v="2024-09-07T00:00:00"/>
    <x v="1"/>
    <x v="0"/>
    <x v="0"/>
    <x v="0"/>
    <x v="0"/>
    <x v="0"/>
    <n v="20"/>
    <n v="20"/>
    <n v="45"/>
  </r>
  <r>
    <n v="3426"/>
    <x v="167"/>
    <x v="2"/>
    <d v="2024-09-08T00:00:00"/>
    <x v="0"/>
    <x v="2"/>
    <x v="2"/>
    <x v="1"/>
    <x v="1"/>
    <x v="0"/>
    <n v="20"/>
    <n v="15"/>
    <n v="15"/>
  </r>
  <r>
    <n v="3427"/>
    <x v="190"/>
    <x v="1"/>
    <d v="2024-09-09T00:00:00"/>
    <x v="1"/>
    <x v="1"/>
    <x v="0"/>
    <x v="1"/>
    <x v="1"/>
    <x v="1"/>
    <n v="0"/>
    <n v="1"/>
    <n v="4"/>
  </r>
  <r>
    <n v="3428"/>
    <x v="191"/>
    <x v="0"/>
    <d v="2024-09-10T00:00:00"/>
    <x v="0"/>
    <x v="0"/>
    <x v="1"/>
    <x v="0"/>
    <x v="0"/>
    <x v="0"/>
    <n v="20"/>
    <n v="3"/>
    <n v="62"/>
  </r>
  <r>
    <n v="3429"/>
    <x v="192"/>
    <x v="2"/>
    <d v="2024-09-11T00:00:00"/>
    <x v="1"/>
    <x v="2"/>
    <x v="0"/>
    <x v="1"/>
    <x v="1"/>
    <x v="0"/>
    <n v="20"/>
    <n v="10"/>
    <n v="20"/>
  </r>
  <r>
    <n v="3430"/>
    <x v="193"/>
    <x v="1"/>
    <d v="2024-09-12T00:00:00"/>
    <x v="0"/>
    <x v="1"/>
    <x v="2"/>
    <x v="1"/>
    <x v="1"/>
    <x v="1"/>
    <n v="0"/>
    <n v="0"/>
    <n v="5"/>
  </r>
  <r>
    <n v="3431"/>
    <x v="194"/>
    <x v="0"/>
    <d v="2024-09-13T00:00:00"/>
    <x v="1"/>
    <x v="0"/>
    <x v="0"/>
    <x v="0"/>
    <x v="0"/>
    <x v="0"/>
    <n v="20"/>
    <n v="15"/>
    <n v="50"/>
  </r>
  <r>
    <n v="3432"/>
    <x v="195"/>
    <x v="2"/>
    <d v="2024-09-14T00:00:00"/>
    <x v="0"/>
    <x v="2"/>
    <x v="1"/>
    <x v="1"/>
    <x v="1"/>
    <x v="0"/>
    <n v="20"/>
    <n v="15"/>
    <n v="15"/>
  </r>
  <r>
    <n v="3433"/>
    <x v="196"/>
    <x v="1"/>
    <d v="2024-09-15T00:00:00"/>
    <x v="1"/>
    <x v="1"/>
    <x v="0"/>
    <x v="1"/>
    <x v="1"/>
    <x v="1"/>
    <n v="0"/>
    <n v="1"/>
    <n v="4"/>
  </r>
  <r>
    <n v="3434"/>
    <x v="197"/>
    <x v="0"/>
    <d v="2024-09-16T00:00:00"/>
    <x v="0"/>
    <x v="0"/>
    <x v="2"/>
    <x v="0"/>
    <x v="0"/>
    <x v="0"/>
    <n v="20"/>
    <n v="7"/>
    <n v="58"/>
  </r>
  <r>
    <n v="3435"/>
    <x v="198"/>
    <x v="2"/>
    <d v="2024-09-17T00:00:00"/>
    <x v="1"/>
    <x v="2"/>
    <x v="0"/>
    <x v="1"/>
    <x v="1"/>
    <x v="0"/>
    <n v="20"/>
    <n v="10"/>
    <n v="20"/>
  </r>
  <r>
    <n v="3436"/>
    <x v="199"/>
    <x v="1"/>
    <d v="2024-09-18T00:00:00"/>
    <x v="0"/>
    <x v="1"/>
    <x v="0"/>
    <x v="1"/>
    <x v="1"/>
    <x v="1"/>
    <n v="0"/>
    <n v="0"/>
    <n v="5"/>
  </r>
  <r>
    <n v="3437"/>
    <x v="200"/>
    <x v="0"/>
    <d v="2024-09-19T00:00:00"/>
    <x v="1"/>
    <x v="0"/>
    <x v="2"/>
    <x v="0"/>
    <x v="0"/>
    <x v="0"/>
    <n v="20"/>
    <n v="7"/>
    <n v="58"/>
  </r>
  <r>
    <n v="3438"/>
    <x v="201"/>
    <x v="2"/>
    <d v="2024-09-20T00:00:00"/>
    <x v="0"/>
    <x v="2"/>
    <x v="1"/>
    <x v="1"/>
    <x v="1"/>
    <x v="0"/>
    <n v="20"/>
    <n v="10"/>
    <n v="20"/>
  </r>
  <r>
    <n v="3439"/>
    <x v="202"/>
    <x v="1"/>
    <d v="2024-09-21T00:00:00"/>
    <x v="1"/>
    <x v="1"/>
    <x v="2"/>
    <x v="1"/>
    <x v="1"/>
    <x v="1"/>
    <n v="0"/>
    <n v="1"/>
    <n v="4"/>
  </r>
  <r>
    <n v="3440"/>
    <x v="203"/>
    <x v="0"/>
    <d v="2024-09-22T00:00:00"/>
    <x v="0"/>
    <x v="0"/>
    <x v="0"/>
    <x v="0"/>
    <x v="0"/>
    <x v="0"/>
    <n v="20"/>
    <n v="15"/>
    <n v="50"/>
  </r>
  <r>
    <n v="3441"/>
    <x v="204"/>
    <x v="2"/>
    <d v="2024-09-23T00:00:00"/>
    <x v="1"/>
    <x v="2"/>
    <x v="0"/>
    <x v="1"/>
    <x v="1"/>
    <x v="0"/>
    <n v="20"/>
    <n v="5"/>
    <n v="25"/>
  </r>
  <r>
    <n v="3442"/>
    <x v="205"/>
    <x v="1"/>
    <d v="2024-09-24T00:00:00"/>
    <x v="0"/>
    <x v="1"/>
    <x v="1"/>
    <x v="1"/>
    <x v="1"/>
    <x v="1"/>
    <n v="0"/>
    <n v="0"/>
    <n v="5"/>
  </r>
  <r>
    <n v="3443"/>
    <x v="206"/>
    <x v="0"/>
    <d v="2024-09-25T00:00:00"/>
    <x v="1"/>
    <x v="0"/>
    <x v="2"/>
    <x v="0"/>
    <x v="0"/>
    <x v="0"/>
    <n v="20"/>
    <n v="20"/>
    <n v="45"/>
  </r>
  <r>
    <n v="3444"/>
    <x v="207"/>
    <x v="2"/>
    <d v="2024-09-26T00:00:00"/>
    <x v="0"/>
    <x v="2"/>
    <x v="2"/>
    <x v="1"/>
    <x v="1"/>
    <x v="0"/>
    <n v="20"/>
    <n v="12"/>
    <n v="18"/>
  </r>
  <r>
    <n v="3445"/>
    <x v="37"/>
    <x v="1"/>
    <d v="2024-09-27T00:00:00"/>
    <x v="1"/>
    <x v="1"/>
    <x v="0"/>
    <x v="1"/>
    <x v="1"/>
    <x v="1"/>
    <n v="0"/>
    <n v="2"/>
    <n v="3"/>
  </r>
  <r>
    <n v="3446"/>
    <x v="208"/>
    <x v="0"/>
    <d v="2024-09-28T00:00:00"/>
    <x v="0"/>
    <x v="0"/>
    <x v="1"/>
    <x v="0"/>
    <x v="0"/>
    <x v="0"/>
    <n v="20"/>
    <n v="5"/>
    <n v="60"/>
  </r>
  <r>
    <n v="3447"/>
    <x v="209"/>
    <x v="2"/>
    <d v="2024-09-29T00:00:00"/>
    <x v="1"/>
    <x v="2"/>
    <x v="0"/>
    <x v="1"/>
    <x v="1"/>
    <x v="0"/>
    <n v="20"/>
    <n v="10"/>
    <n v="20"/>
  </r>
  <r>
    <n v="3448"/>
    <x v="210"/>
    <x v="1"/>
    <d v="2024-09-30T00:00:00"/>
    <x v="0"/>
    <x v="1"/>
    <x v="2"/>
    <x v="1"/>
    <x v="1"/>
    <x v="1"/>
    <n v="0"/>
    <n v="0"/>
    <n v="5"/>
  </r>
  <r>
    <n v="3449"/>
    <x v="211"/>
    <x v="0"/>
    <d v="2024-10-01T00:00:00"/>
    <x v="1"/>
    <x v="0"/>
    <x v="0"/>
    <x v="0"/>
    <x v="0"/>
    <x v="0"/>
    <n v="20"/>
    <n v="3"/>
    <n v="62"/>
  </r>
  <r>
    <n v="3450"/>
    <x v="212"/>
    <x v="2"/>
    <d v="2024-10-02T00:00:00"/>
    <x v="0"/>
    <x v="2"/>
    <x v="1"/>
    <x v="1"/>
    <x v="1"/>
    <x v="0"/>
    <n v="20"/>
    <n v="15"/>
    <n v="15"/>
  </r>
  <r>
    <n v="3451"/>
    <x v="213"/>
    <x v="1"/>
    <d v="2024-10-03T00:00:00"/>
    <x v="1"/>
    <x v="1"/>
    <x v="0"/>
    <x v="1"/>
    <x v="1"/>
    <x v="1"/>
    <n v="0"/>
    <n v="1"/>
    <n v="4"/>
  </r>
  <r>
    <n v="3452"/>
    <x v="191"/>
    <x v="0"/>
    <d v="2024-10-04T00:00:00"/>
    <x v="0"/>
    <x v="0"/>
    <x v="2"/>
    <x v="0"/>
    <x v="0"/>
    <x v="0"/>
    <n v="20"/>
    <n v="7"/>
    <n v="58"/>
  </r>
  <r>
    <n v="3453"/>
    <x v="45"/>
    <x v="2"/>
    <d v="2024-10-05T00:00:00"/>
    <x v="1"/>
    <x v="2"/>
    <x v="0"/>
    <x v="1"/>
    <x v="1"/>
    <x v="0"/>
    <n v="20"/>
    <n v="10"/>
    <n v="20"/>
  </r>
  <r>
    <n v="3454"/>
    <x v="214"/>
    <x v="1"/>
    <d v="2024-10-06T00:00:00"/>
    <x v="0"/>
    <x v="1"/>
    <x v="1"/>
    <x v="1"/>
    <x v="1"/>
    <x v="1"/>
    <n v="0"/>
    <n v="0"/>
    <n v="5"/>
  </r>
  <r>
    <n v="3455"/>
    <x v="215"/>
    <x v="0"/>
    <d v="2024-10-07T00:00:00"/>
    <x v="1"/>
    <x v="0"/>
    <x v="0"/>
    <x v="0"/>
    <x v="0"/>
    <x v="0"/>
    <n v="20"/>
    <n v="20"/>
    <n v="45"/>
  </r>
  <r>
    <n v="3456"/>
    <x v="216"/>
    <x v="2"/>
    <d v="2024-10-08T00:00:00"/>
    <x v="0"/>
    <x v="2"/>
    <x v="2"/>
    <x v="1"/>
    <x v="1"/>
    <x v="0"/>
    <n v="20"/>
    <n v="15"/>
    <n v="15"/>
  </r>
  <r>
    <n v="3457"/>
    <x v="217"/>
    <x v="1"/>
    <d v="2024-10-09T00:00:00"/>
    <x v="1"/>
    <x v="1"/>
    <x v="0"/>
    <x v="1"/>
    <x v="1"/>
    <x v="1"/>
    <n v="0"/>
    <n v="1"/>
    <n v="4"/>
  </r>
  <r>
    <n v="3458"/>
    <x v="218"/>
    <x v="0"/>
    <d v="2024-10-10T00:00:00"/>
    <x v="0"/>
    <x v="0"/>
    <x v="1"/>
    <x v="0"/>
    <x v="0"/>
    <x v="0"/>
    <n v="20"/>
    <n v="3"/>
    <n v="62"/>
  </r>
  <r>
    <n v="3459"/>
    <x v="219"/>
    <x v="2"/>
    <d v="2024-10-11T00:00:00"/>
    <x v="1"/>
    <x v="2"/>
    <x v="0"/>
    <x v="1"/>
    <x v="1"/>
    <x v="0"/>
    <n v="20"/>
    <n v="10"/>
    <n v="20"/>
  </r>
  <r>
    <n v="3460"/>
    <x v="127"/>
    <x v="1"/>
    <d v="2024-10-12T00:00:00"/>
    <x v="0"/>
    <x v="1"/>
    <x v="2"/>
    <x v="1"/>
    <x v="1"/>
    <x v="1"/>
    <n v="0"/>
    <n v="0"/>
    <n v="5"/>
  </r>
  <r>
    <n v="3461"/>
    <x v="220"/>
    <x v="0"/>
    <d v="2024-10-13T00:00:00"/>
    <x v="1"/>
    <x v="0"/>
    <x v="0"/>
    <x v="0"/>
    <x v="0"/>
    <x v="0"/>
    <n v="20"/>
    <n v="15"/>
    <n v="50"/>
  </r>
  <r>
    <n v="3462"/>
    <x v="221"/>
    <x v="2"/>
    <d v="2024-10-14T00:00:00"/>
    <x v="0"/>
    <x v="2"/>
    <x v="1"/>
    <x v="1"/>
    <x v="1"/>
    <x v="0"/>
    <n v="20"/>
    <n v="15"/>
    <n v="15"/>
  </r>
  <r>
    <n v="3463"/>
    <x v="222"/>
    <x v="1"/>
    <d v="2024-10-15T00:00:00"/>
    <x v="1"/>
    <x v="1"/>
    <x v="0"/>
    <x v="1"/>
    <x v="1"/>
    <x v="1"/>
    <n v="0"/>
    <n v="1"/>
    <n v="4"/>
  </r>
  <r>
    <n v="3464"/>
    <x v="223"/>
    <x v="0"/>
    <d v="2024-10-16T00:00:00"/>
    <x v="0"/>
    <x v="0"/>
    <x v="2"/>
    <x v="0"/>
    <x v="0"/>
    <x v="0"/>
    <n v="20"/>
    <n v="7"/>
    <n v="58"/>
  </r>
  <r>
    <n v="3465"/>
    <x v="224"/>
    <x v="2"/>
    <d v="2024-10-17T00:00:00"/>
    <x v="1"/>
    <x v="2"/>
    <x v="0"/>
    <x v="1"/>
    <x v="1"/>
    <x v="0"/>
    <n v="20"/>
    <n v="10"/>
    <n v="20"/>
  </r>
  <r>
    <n v="3466"/>
    <x v="225"/>
    <x v="1"/>
    <d v="2024-10-18T00:00:00"/>
    <x v="0"/>
    <x v="1"/>
    <x v="1"/>
    <x v="1"/>
    <x v="1"/>
    <x v="1"/>
    <n v="0"/>
    <n v="0"/>
    <n v="5"/>
  </r>
  <r>
    <n v="3467"/>
    <x v="226"/>
    <x v="0"/>
    <d v="2024-10-19T00:00:00"/>
    <x v="1"/>
    <x v="0"/>
    <x v="0"/>
    <x v="0"/>
    <x v="0"/>
    <x v="0"/>
    <n v="20"/>
    <n v="15"/>
    <n v="50"/>
  </r>
  <r>
    <n v="3468"/>
    <x v="227"/>
    <x v="2"/>
    <d v="2024-10-20T00:00:00"/>
    <x v="0"/>
    <x v="2"/>
    <x v="2"/>
    <x v="1"/>
    <x v="1"/>
    <x v="0"/>
    <n v="20"/>
    <n v="12"/>
    <n v="18"/>
  </r>
  <r>
    <n v="3469"/>
    <x v="228"/>
    <x v="1"/>
    <d v="2024-10-21T00:00:00"/>
    <x v="1"/>
    <x v="1"/>
    <x v="0"/>
    <x v="1"/>
    <x v="1"/>
    <x v="1"/>
    <n v="0"/>
    <n v="2"/>
    <n v="3"/>
  </r>
  <r>
    <n v="3470"/>
    <x v="229"/>
    <x v="0"/>
    <d v="2024-10-22T00:00:00"/>
    <x v="0"/>
    <x v="0"/>
    <x v="1"/>
    <x v="0"/>
    <x v="0"/>
    <x v="0"/>
    <n v="20"/>
    <n v="5"/>
    <n v="60"/>
  </r>
  <r>
    <n v="3471"/>
    <x v="230"/>
    <x v="2"/>
    <d v="2024-10-23T00:00:00"/>
    <x v="1"/>
    <x v="2"/>
    <x v="0"/>
    <x v="1"/>
    <x v="1"/>
    <x v="0"/>
    <n v="20"/>
    <n v="10"/>
    <n v="20"/>
  </r>
  <r>
    <n v="3472"/>
    <x v="231"/>
    <x v="1"/>
    <d v="2024-10-24T00:00:00"/>
    <x v="0"/>
    <x v="1"/>
    <x v="2"/>
    <x v="1"/>
    <x v="1"/>
    <x v="1"/>
    <n v="0"/>
    <n v="0"/>
    <n v="5"/>
  </r>
  <r>
    <n v="3473"/>
    <x v="140"/>
    <x v="0"/>
    <d v="2024-10-25T00:00:00"/>
    <x v="1"/>
    <x v="0"/>
    <x v="0"/>
    <x v="0"/>
    <x v="0"/>
    <x v="0"/>
    <n v="20"/>
    <n v="3"/>
    <n v="62"/>
  </r>
  <r>
    <n v="3474"/>
    <x v="232"/>
    <x v="2"/>
    <d v="2024-10-26T00:00:00"/>
    <x v="0"/>
    <x v="2"/>
    <x v="1"/>
    <x v="1"/>
    <x v="1"/>
    <x v="0"/>
    <n v="20"/>
    <n v="15"/>
    <n v="15"/>
  </r>
  <r>
    <n v="3475"/>
    <x v="233"/>
    <x v="1"/>
    <d v="2024-10-27T00:00:00"/>
    <x v="1"/>
    <x v="1"/>
    <x v="0"/>
    <x v="1"/>
    <x v="1"/>
    <x v="1"/>
    <n v="0"/>
    <n v="1"/>
    <n v="4"/>
  </r>
  <r>
    <n v="3476"/>
    <x v="234"/>
    <x v="0"/>
    <d v="2024-10-28T00:00:00"/>
    <x v="0"/>
    <x v="0"/>
    <x v="2"/>
    <x v="0"/>
    <x v="0"/>
    <x v="0"/>
    <n v="20"/>
    <n v="7"/>
    <n v="58"/>
  </r>
  <r>
    <n v="3477"/>
    <x v="235"/>
    <x v="2"/>
    <d v="2024-10-29T00:00:00"/>
    <x v="1"/>
    <x v="2"/>
    <x v="0"/>
    <x v="1"/>
    <x v="1"/>
    <x v="0"/>
    <n v="20"/>
    <n v="10"/>
    <n v="20"/>
  </r>
  <r>
    <n v="3478"/>
    <x v="236"/>
    <x v="1"/>
    <d v="2024-10-30T00:00:00"/>
    <x v="0"/>
    <x v="1"/>
    <x v="1"/>
    <x v="1"/>
    <x v="1"/>
    <x v="1"/>
    <n v="0"/>
    <n v="0"/>
    <n v="5"/>
  </r>
  <r>
    <n v="3479"/>
    <x v="237"/>
    <x v="0"/>
    <d v="2024-10-31T00:00:00"/>
    <x v="1"/>
    <x v="0"/>
    <x v="0"/>
    <x v="0"/>
    <x v="0"/>
    <x v="0"/>
    <n v="20"/>
    <n v="20"/>
    <n v="45"/>
  </r>
  <r>
    <n v="3480"/>
    <x v="238"/>
    <x v="2"/>
    <d v="2024-11-01T00:00:00"/>
    <x v="0"/>
    <x v="2"/>
    <x v="2"/>
    <x v="1"/>
    <x v="1"/>
    <x v="0"/>
    <n v="20"/>
    <n v="15"/>
    <n v="15"/>
  </r>
  <r>
    <n v="3481"/>
    <x v="239"/>
    <x v="1"/>
    <d v="2024-11-02T00:00:00"/>
    <x v="1"/>
    <x v="1"/>
    <x v="0"/>
    <x v="1"/>
    <x v="1"/>
    <x v="1"/>
    <n v="0"/>
    <n v="1"/>
    <n v="4"/>
  </r>
  <r>
    <n v="3482"/>
    <x v="240"/>
    <x v="0"/>
    <d v="2024-11-03T00:00:00"/>
    <x v="0"/>
    <x v="0"/>
    <x v="1"/>
    <x v="0"/>
    <x v="0"/>
    <x v="0"/>
    <n v="20"/>
    <n v="3"/>
    <n v="62"/>
  </r>
  <r>
    <n v="3483"/>
    <x v="241"/>
    <x v="2"/>
    <d v="2024-11-04T00:00:00"/>
    <x v="1"/>
    <x v="2"/>
    <x v="0"/>
    <x v="1"/>
    <x v="1"/>
    <x v="0"/>
    <n v="20"/>
    <n v="10"/>
    <n v="20"/>
  </r>
  <r>
    <n v="3484"/>
    <x v="242"/>
    <x v="1"/>
    <d v="2024-11-05T00:00:00"/>
    <x v="0"/>
    <x v="1"/>
    <x v="2"/>
    <x v="1"/>
    <x v="1"/>
    <x v="1"/>
    <n v="0"/>
    <n v="0"/>
    <n v="5"/>
  </r>
  <r>
    <n v="3485"/>
    <x v="243"/>
    <x v="0"/>
    <d v="2024-11-06T00:00:00"/>
    <x v="1"/>
    <x v="0"/>
    <x v="0"/>
    <x v="0"/>
    <x v="0"/>
    <x v="0"/>
    <n v="20"/>
    <n v="15"/>
    <n v="50"/>
  </r>
  <r>
    <n v="3486"/>
    <x v="244"/>
    <x v="1"/>
    <d v="2024-11-07T00:00:00"/>
    <x v="0"/>
    <x v="1"/>
    <x v="0"/>
    <x v="1"/>
    <x v="1"/>
    <x v="1"/>
    <n v="0"/>
    <n v="0"/>
    <n v="5"/>
  </r>
  <r>
    <n v="3487"/>
    <x v="245"/>
    <x v="0"/>
    <d v="2024-11-08T00:00:00"/>
    <x v="1"/>
    <x v="0"/>
    <x v="2"/>
    <x v="0"/>
    <x v="0"/>
    <x v="0"/>
    <n v="20"/>
    <n v="7"/>
    <n v="58"/>
  </r>
  <r>
    <n v="3488"/>
    <x v="246"/>
    <x v="2"/>
    <d v="2024-11-09T00:00:00"/>
    <x v="0"/>
    <x v="2"/>
    <x v="1"/>
    <x v="1"/>
    <x v="1"/>
    <x v="0"/>
    <n v="20"/>
    <n v="10"/>
    <n v="20"/>
  </r>
  <r>
    <n v="3489"/>
    <x v="247"/>
    <x v="1"/>
    <d v="2024-11-10T00:00:00"/>
    <x v="1"/>
    <x v="1"/>
    <x v="2"/>
    <x v="1"/>
    <x v="1"/>
    <x v="1"/>
    <n v="0"/>
    <n v="1"/>
    <n v="4"/>
  </r>
  <r>
    <n v="3490"/>
    <x v="248"/>
    <x v="0"/>
    <d v="2024-11-11T00:00:00"/>
    <x v="0"/>
    <x v="0"/>
    <x v="0"/>
    <x v="0"/>
    <x v="0"/>
    <x v="0"/>
    <n v="20"/>
    <n v="15"/>
    <n v="50"/>
  </r>
  <r>
    <n v="3491"/>
    <x v="249"/>
    <x v="2"/>
    <d v="2024-11-12T00:00:00"/>
    <x v="1"/>
    <x v="2"/>
    <x v="0"/>
    <x v="1"/>
    <x v="1"/>
    <x v="0"/>
    <n v="20"/>
    <n v="5"/>
    <n v="25"/>
  </r>
  <r>
    <n v="3492"/>
    <x v="250"/>
    <x v="1"/>
    <d v="2024-11-13T00:00:00"/>
    <x v="0"/>
    <x v="1"/>
    <x v="1"/>
    <x v="1"/>
    <x v="1"/>
    <x v="1"/>
    <n v="0"/>
    <n v="0"/>
    <n v="5"/>
  </r>
  <r>
    <n v="3493"/>
    <x v="251"/>
    <x v="0"/>
    <d v="2024-11-14T00:00:00"/>
    <x v="1"/>
    <x v="0"/>
    <x v="2"/>
    <x v="0"/>
    <x v="0"/>
    <x v="0"/>
    <n v="20"/>
    <n v="20"/>
    <n v="45"/>
  </r>
  <r>
    <n v="3494"/>
    <x v="252"/>
    <x v="2"/>
    <d v="2024-11-15T00:00:00"/>
    <x v="0"/>
    <x v="2"/>
    <x v="2"/>
    <x v="1"/>
    <x v="1"/>
    <x v="0"/>
    <n v="20"/>
    <n v="12"/>
    <n v="18"/>
  </r>
  <r>
    <n v="3495"/>
    <x v="253"/>
    <x v="1"/>
    <d v="2024-11-16T00:00:00"/>
    <x v="1"/>
    <x v="1"/>
    <x v="0"/>
    <x v="1"/>
    <x v="1"/>
    <x v="1"/>
    <n v="0"/>
    <n v="2"/>
    <n v="3"/>
  </r>
  <r>
    <n v="3496"/>
    <x v="254"/>
    <x v="0"/>
    <d v="2024-11-17T00:00:00"/>
    <x v="0"/>
    <x v="0"/>
    <x v="1"/>
    <x v="0"/>
    <x v="0"/>
    <x v="0"/>
    <n v="20"/>
    <n v="5"/>
    <n v="60"/>
  </r>
  <r>
    <n v="3497"/>
    <x v="255"/>
    <x v="2"/>
    <d v="2024-11-18T00:00:00"/>
    <x v="1"/>
    <x v="2"/>
    <x v="0"/>
    <x v="1"/>
    <x v="1"/>
    <x v="0"/>
    <n v="20"/>
    <n v="10"/>
    <n v="20"/>
  </r>
  <r>
    <n v="3498"/>
    <x v="256"/>
    <x v="1"/>
    <d v="2024-11-19T00:00:00"/>
    <x v="0"/>
    <x v="1"/>
    <x v="2"/>
    <x v="1"/>
    <x v="1"/>
    <x v="1"/>
    <n v="0"/>
    <n v="0"/>
    <n v="5"/>
  </r>
  <r>
    <n v="3499"/>
    <x v="257"/>
    <x v="0"/>
    <d v="2024-11-20T00:00:00"/>
    <x v="1"/>
    <x v="0"/>
    <x v="0"/>
    <x v="0"/>
    <x v="0"/>
    <x v="0"/>
    <n v="20"/>
    <n v="3"/>
    <n v="62"/>
  </r>
  <r>
    <n v="3500"/>
    <x v="258"/>
    <x v="2"/>
    <d v="2024-11-21T00:00:00"/>
    <x v="0"/>
    <x v="2"/>
    <x v="1"/>
    <x v="1"/>
    <x v="1"/>
    <x v="0"/>
    <n v="20"/>
    <n v="15"/>
    <n v="15"/>
  </r>
  <r>
    <n v="3501"/>
    <x v="259"/>
    <x v="1"/>
    <d v="2024-11-22T00:00:00"/>
    <x v="1"/>
    <x v="1"/>
    <x v="0"/>
    <x v="1"/>
    <x v="1"/>
    <x v="1"/>
    <n v="0"/>
    <n v="1"/>
    <n v="4"/>
  </r>
  <r>
    <n v="3502"/>
    <x v="260"/>
    <x v="0"/>
    <d v="2024-11-23T00:00:00"/>
    <x v="0"/>
    <x v="0"/>
    <x v="2"/>
    <x v="0"/>
    <x v="0"/>
    <x v="0"/>
    <n v="20"/>
    <n v="7"/>
    <n v="58"/>
  </r>
  <r>
    <n v="3503"/>
    <x v="119"/>
    <x v="2"/>
    <d v="2024-11-24T00:00:00"/>
    <x v="1"/>
    <x v="2"/>
    <x v="0"/>
    <x v="1"/>
    <x v="1"/>
    <x v="0"/>
    <n v="20"/>
    <n v="10"/>
    <n v="20"/>
  </r>
  <r>
    <n v="3504"/>
    <x v="261"/>
    <x v="1"/>
    <d v="2024-11-25T00:00:00"/>
    <x v="0"/>
    <x v="1"/>
    <x v="1"/>
    <x v="1"/>
    <x v="1"/>
    <x v="1"/>
    <n v="0"/>
    <n v="0"/>
    <n v="5"/>
  </r>
  <r>
    <n v="3505"/>
    <x v="262"/>
    <x v="0"/>
    <d v="2024-11-26T00:00:00"/>
    <x v="1"/>
    <x v="0"/>
    <x v="0"/>
    <x v="0"/>
    <x v="0"/>
    <x v="0"/>
    <n v="20"/>
    <n v="20"/>
    <n v="45"/>
  </r>
  <r>
    <n v="3506"/>
    <x v="263"/>
    <x v="2"/>
    <d v="2024-11-27T00:00:00"/>
    <x v="0"/>
    <x v="2"/>
    <x v="2"/>
    <x v="1"/>
    <x v="1"/>
    <x v="0"/>
    <n v="20"/>
    <n v="15"/>
    <n v="15"/>
  </r>
  <r>
    <n v="3507"/>
    <x v="264"/>
    <x v="1"/>
    <d v="2024-11-28T00:00:00"/>
    <x v="1"/>
    <x v="1"/>
    <x v="0"/>
    <x v="1"/>
    <x v="1"/>
    <x v="1"/>
    <n v="0"/>
    <n v="1"/>
    <n v="4"/>
  </r>
  <r>
    <n v="3508"/>
    <x v="265"/>
    <x v="0"/>
    <d v="2024-11-29T00:00:00"/>
    <x v="0"/>
    <x v="0"/>
    <x v="1"/>
    <x v="0"/>
    <x v="0"/>
    <x v="0"/>
    <n v="20"/>
    <n v="3"/>
    <n v="62"/>
  </r>
  <r>
    <n v="3509"/>
    <x v="266"/>
    <x v="2"/>
    <d v="2024-11-30T00:00:00"/>
    <x v="1"/>
    <x v="2"/>
    <x v="0"/>
    <x v="1"/>
    <x v="1"/>
    <x v="0"/>
    <n v="20"/>
    <n v="10"/>
    <n v="20"/>
  </r>
  <r>
    <n v="3510"/>
    <x v="267"/>
    <x v="1"/>
    <d v="2024-12-01T00:00:00"/>
    <x v="0"/>
    <x v="1"/>
    <x v="2"/>
    <x v="1"/>
    <x v="1"/>
    <x v="1"/>
    <n v="0"/>
    <n v="0"/>
    <n v="5"/>
  </r>
  <r>
    <n v="3511"/>
    <x v="268"/>
    <x v="0"/>
    <d v="2024-12-02T00:00:00"/>
    <x v="1"/>
    <x v="0"/>
    <x v="0"/>
    <x v="0"/>
    <x v="0"/>
    <x v="0"/>
    <n v="20"/>
    <n v="15"/>
    <n v="50"/>
  </r>
  <r>
    <n v="3512"/>
    <x v="269"/>
    <x v="2"/>
    <d v="2024-12-03T00:00:00"/>
    <x v="0"/>
    <x v="2"/>
    <x v="1"/>
    <x v="1"/>
    <x v="1"/>
    <x v="0"/>
    <n v="20"/>
    <n v="15"/>
    <n v="15"/>
  </r>
  <r>
    <n v="3513"/>
    <x v="270"/>
    <x v="1"/>
    <d v="2024-12-04T00:00:00"/>
    <x v="1"/>
    <x v="1"/>
    <x v="0"/>
    <x v="1"/>
    <x v="1"/>
    <x v="1"/>
    <n v="0"/>
    <n v="1"/>
    <n v="4"/>
  </r>
  <r>
    <n v="3514"/>
    <x v="271"/>
    <x v="0"/>
    <d v="2024-12-05T00:00:00"/>
    <x v="0"/>
    <x v="0"/>
    <x v="2"/>
    <x v="0"/>
    <x v="0"/>
    <x v="0"/>
    <n v="20"/>
    <n v="7"/>
    <n v="58"/>
  </r>
  <r>
    <n v="3515"/>
    <x v="130"/>
    <x v="2"/>
    <d v="2024-12-06T00:00:00"/>
    <x v="1"/>
    <x v="2"/>
    <x v="0"/>
    <x v="1"/>
    <x v="1"/>
    <x v="0"/>
    <n v="20"/>
    <n v="10"/>
    <n v="20"/>
  </r>
  <r>
    <n v="3516"/>
    <x v="131"/>
    <x v="1"/>
    <d v="2024-12-07T00:00:00"/>
    <x v="0"/>
    <x v="1"/>
    <x v="1"/>
    <x v="1"/>
    <x v="1"/>
    <x v="1"/>
    <n v="0"/>
    <n v="0"/>
    <n v="5"/>
  </r>
  <r>
    <n v="3517"/>
    <x v="181"/>
    <x v="0"/>
    <d v="2024-12-08T00:00:00"/>
    <x v="1"/>
    <x v="0"/>
    <x v="0"/>
    <x v="0"/>
    <x v="0"/>
    <x v="0"/>
    <n v="20"/>
    <n v="20"/>
    <n v="45"/>
  </r>
  <r>
    <n v="3518"/>
    <x v="272"/>
    <x v="2"/>
    <d v="2024-12-09T00:00:00"/>
    <x v="0"/>
    <x v="2"/>
    <x v="2"/>
    <x v="1"/>
    <x v="1"/>
    <x v="0"/>
    <n v="20"/>
    <n v="12"/>
    <n v="18"/>
  </r>
  <r>
    <n v="3519"/>
    <x v="273"/>
    <x v="1"/>
    <d v="2024-12-10T00:00:00"/>
    <x v="1"/>
    <x v="1"/>
    <x v="0"/>
    <x v="1"/>
    <x v="1"/>
    <x v="1"/>
    <n v="0"/>
    <n v="2"/>
    <n v="3"/>
  </r>
  <r>
    <n v="3520"/>
    <x v="274"/>
    <x v="0"/>
    <d v="2024-12-11T00:00:00"/>
    <x v="0"/>
    <x v="0"/>
    <x v="1"/>
    <x v="0"/>
    <x v="0"/>
    <x v="0"/>
    <n v="20"/>
    <n v="5"/>
    <n v="60"/>
  </r>
  <r>
    <n v="3521"/>
    <x v="275"/>
    <x v="2"/>
    <d v="2024-12-12T00:00:00"/>
    <x v="1"/>
    <x v="2"/>
    <x v="0"/>
    <x v="1"/>
    <x v="1"/>
    <x v="0"/>
    <n v="20"/>
    <n v="10"/>
    <n v="20"/>
  </r>
  <r>
    <n v="3522"/>
    <x v="276"/>
    <x v="1"/>
    <d v="2024-12-13T00:00:00"/>
    <x v="0"/>
    <x v="1"/>
    <x v="2"/>
    <x v="1"/>
    <x v="1"/>
    <x v="1"/>
    <n v="0"/>
    <n v="0"/>
    <n v="5"/>
  </r>
  <r>
    <n v="3523"/>
    <x v="277"/>
    <x v="0"/>
    <d v="2024-12-14T00:00:00"/>
    <x v="1"/>
    <x v="0"/>
    <x v="0"/>
    <x v="0"/>
    <x v="0"/>
    <x v="0"/>
    <n v="20"/>
    <n v="3"/>
    <n v="62"/>
  </r>
  <r>
    <n v="3524"/>
    <x v="278"/>
    <x v="2"/>
    <d v="2024-12-15T00:00:00"/>
    <x v="0"/>
    <x v="2"/>
    <x v="1"/>
    <x v="1"/>
    <x v="1"/>
    <x v="0"/>
    <n v="20"/>
    <n v="15"/>
    <n v="15"/>
  </r>
  <r>
    <n v="3525"/>
    <x v="279"/>
    <x v="1"/>
    <d v="2024-12-16T00:00:00"/>
    <x v="1"/>
    <x v="1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A49016-08B6-42B4-8E56-1DC27C4DBBA7}" name="Tabela dinâmica3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C47:D5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7F4397-9AAD-4C87-A6E2-194C101F1C3E}" name="Tabela dinâmica2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C34:D3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E5A565-CA0B-4F09-9A05-54D458B05F3B}" name="Tabela dinâmica1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C9:G13" firstHeaderRow="1" firstDataRow="2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oma de Total Value" fld="12" baseField="0" baseItem="0" numFmtId="44"/>
  </dataFields>
  <chartFormats count="3"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1622F89-6140-49D0-AAB5-FBF252104CCE}" sourceName="Subscription Type">
  <pivotTables>
    <pivotTable tabId="3" name="Tabela dinâmica1"/>
    <pivotTable tabId="3" name="Tabela dinâmica2"/>
    <pivotTable tabId="3" name="Tabela dinâmica3"/>
  </pivotTables>
  <data>
    <tabular pivotCacheId="520913799">
      <items count="3">
        <i x="1" s="1"/>
        <i x="0" s="1"/>
        <i x="2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C2B8CA49-8021-426E-82FB-70C229056CF5}" cache="SegmentaçãodeDados_Subscription_Type" caption="Subscription Type" style="Estilo de Segmentação de Dados 3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7">
  <autoFilter ref="A1:M296" xr:uid="{34E0E886-4200-4B36-97B3-63DB74FF40A0}"/>
  <tableColumns count="13">
    <tableColumn id="1" xr3:uid="{C4A90516-688A-46BF-9167-EA16C2A8A652}" name="Subscriber ID" dataDxfId="16"/>
    <tableColumn id="2" xr3:uid="{53DD39D0-2220-4121-9E9D-4EAA7E151C0F}" name="Name" dataDxfId="15"/>
    <tableColumn id="3" xr3:uid="{4F5FF271-4C57-4BE0-8F2C-F82C8551625C}" name="Plan" dataDxfId="14"/>
    <tableColumn id="4" xr3:uid="{8C17EB93-79B9-4E55-B8F7-BEB82F8253E9}" name="Start Date" dataDxfId="13"/>
    <tableColumn id="5" xr3:uid="{48CEDF9B-1689-482A-A828-5CCE7713264A}" name="Auto Renewal" dataDxfId="12"/>
    <tableColumn id="6" xr3:uid="{78B82374-9AA7-4E38-AE4F-78CDE6C83720}" name="Subscription Price" dataDxfId="11" dataCellStyle="Moeda"/>
    <tableColumn id="7" xr3:uid="{F2433F68-AF33-49D0-B1FB-19A396074EDE}" name="Subscription Type" dataDxfId="10"/>
    <tableColumn id="8" xr3:uid="{FD4D9C95-F6E5-4933-9068-A71FF7DF9343}" name="EA Play Season Pass" dataDxfId="9"/>
    <tableColumn id="13" xr3:uid="{978DD0D2-834E-4CE4-A39B-30976086932F}" name="EA Play Season Pass_x000a_Price" dataDxfId="8" dataCellStyle="Moeda"/>
    <tableColumn id="9" xr3:uid="{6E29F111-C395-4580-9DAD-3407D9E8B1A4}" name="Minecraft Season Pass" dataDxfId="7"/>
    <tableColumn id="10" xr3:uid="{EF544EAA-7F25-4FD5-A10E-8E62804DB9E3}" name="Minecraft Season Pass Price" dataDxfId="6" dataCellStyle="Moeda"/>
    <tableColumn id="11" xr3:uid="{7F6EB64A-1F07-4E48-9F0F-AC7D9DCD26F8}" name="Coupon Value" dataDxfId="5" dataCellStyle="Moeda"/>
    <tableColumn id="12" xr3:uid="{2B04ABC8-DE6F-426E-ADC0-D8AFC68CA58E}" name="Total Value" dataDxfId="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5" sqref="B5:C8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C2" sqref="C2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4:K51"/>
  <sheetViews>
    <sheetView showGridLines="0" topLeftCell="A13" workbookViewId="0">
      <selection activeCell="J12" sqref="J12"/>
    </sheetView>
  </sheetViews>
  <sheetFormatPr defaultRowHeight="14.4" x14ac:dyDescent="0.3"/>
  <cols>
    <col min="3" max="3" width="16.77734375" bestFit="1" customWidth="1"/>
    <col min="4" max="4" width="32.21875" bestFit="1" customWidth="1"/>
    <col min="5" max="7" width="11.88671875" bestFit="1" customWidth="1"/>
    <col min="8" max="8" width="25.5546875" bestFit="1" customWidth="1"/>
    <col min="9" max="9" width="30.109375" bestFit="1" customWidth="1"/>
    <col min="10" max="10" width="20.5546875" bestFit="1" customWidth="1"/>
    <col min="11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4" spans="3:11" x14ac:dyDescent="0.3">
      <c r="C4" t="s">
        <v>313</v>
      </c>
    </row>
    <row r="5" spans="3:11" x14ac:dyDescent="0.3">
      <c r="C5" t="s">
        <v>319</v>
      </c>
    </row>
    <row r="6" spans="3:11" x14ac:dyDescent="0.3">
      <c r="C6" t="s">
        <v>318</v>
      </c>
    </row>
    <row r="9" spans="3:11" x14ac:dyDescent="0.3">
      <c r="C9" s="12" t="s">
        <v>316</v>
      </c>
      <c r="D9" s="12" t="s">
        <v>320</v>
      </c>
    </row>
    <row r="10" spans="3:11" x14ac:dyDescent="0.3">
      <c r="C10" s="12" t="s">
        <v>314</v>
      </c>
      <c r="D10" t="s">
        <v>24</v>
      </c>
      <c r="E10" t="s">
        <v>20</v>
      </c>
      <c r="F10" t="s">
        <v>27</v>
      </c>
      <c r="G10" t="s">
        <v>315</v>
      </c>
      <c r="J10" s="3" t="s">
        <v>2</v>
      </c>
      <c r="K10" t="s">
        <v>8</v>
      </c>
    </row>
    <row r="11" spans="3:11" x14ac:dyDescent="0.3">
      <c r="C11" s="13" t="s">
        <v>23</v>
      </c>
      <c r="D11" s="14">
        <v>217</v>
      </c>
      <c r="E11" s="14">
        <v>2824</v>
      </c>
      <c r="F11" s="14">
        <v>806</v>
      </c>
      <c r="G11" s="14">
        <v>3847</v>
      </c>
      <c r="J11" s="4" t="s">
        <v>3</v>
      </c>
      <c r="K11" t="s">
        <v>8</v>
      </c>
    </row>
    <row r="12" spans="3:11" x14ac:dyDescent="0.3">
      <c r="C12" s="13" t="s">
        <v>19</v>
      </c>
      <c r="D12" s="14">
        <v>1537</v>
      </c>
      <c r="E12" s="14">
        <v>747</v>
      </c>
      <c r="F12" s="14">
        <v>1502</v>
      </c>
      <c r="G12" s="14">
        <v>3786</v>
      </c>
      <c r="J12" s="5" t="s">
        <v>4</v>
      </c>
      <c r="K12" t="s">
        <v>9</v>
      </c>
    </row>
    <row r="13" spans="3:11" x14ac:dyDescent="0.3">
      <c r="C13" s="13" t="s">
        <v>315</v>
      </c>
      <c r="D13" s="14">
        <v>1754</v>
      </c>
      <c r="E13" s="14">
        <v>3571</v>
      </c>
      <c r="F13" s="14">
        <v>2308</v>
      </c>
      <c r="G13" s="14">
        <v>7633</v>
      </c>
      <c r="J13" s="6" t="s">
        <v>5</v>
      </c>
      <c r="K13" t="s">
        <v>9</v>
      </c>
    </row>
    <row r="30" spans="3:4" x14ac:dyDescent="0.3">
      <c r="C30" t="s">
        <v>321</v>
      </c>
    </row>
    <row r="32" spans="3:4" x14ac:dyDescent="0.3">
      <c r="C32" s="12" t="s">
        <v>16</v>
      </c>
      <c r="D32" t="s">
        <v>317</v>
      </c>
    </row>
    <row r="34" spans="3:7" x14ac:dyDescent="0.3">
      <c r="C34" s="12" t="s">
        <v>314</v>
      </c>
      <c r="D34" t="s">
        <v>322</v>
      </c>
    </row>
    <row r="35" spans="3:7" x14ac:dyDescent="0.3">
      <c r="C35" s="13" t="s">
        <v>22</v>
      </c>
      <c r="D35" s="15">
        <v>0</v>
      </c>
    </row>
    <row r="36" spans="3:7" x14ac:dyDescent="0.3">
      <c r="C36" s="13" t="s">
        <v>26</v>
      </c>
      <c r="D36" s="15">
        <v>0</v>
      </c>
    </row>
    <row r="37" spans="3:7" x14ac:dyDescent="0.3">
      <c r="C37" s="13" t="s">
        <v>18</v>
      </c>
      <c r="D37" s="15">
        <v>2940</v>
      </c>
    </row>
    <row r="38" spans="3:7" x14ac:dyDescent="0.3">
      <c r="C38" s="13" t="s">
        <v>315</v>
      </c>
      <c r="D38" s="15">
        <v>2940</v>
      </c>
      <c r="G38" s="16">
        <f>GETPIVOTDATA("EA Play Season Pass
Price",$C$34)</f>
        <v>2940</v>
      </c>
    </row>
    <row r="42" spans="3:7" x14ac:dyDescent="0.3">
      <c r="C42" t="s">
        <v>323</v>
      </c>
    </row>
    <row r="45" spans="3:7" x14ac:dyDescent="0.3">
      <c r="C45" s="12" t="s">
        <v>16</v>
      </c>
      <c r="D45" t="s">
        <v>317</v>
      </c>
    </row>
    <row r="47" spans="3:7" x14ac:dyDescent="0.3">
      <c r="C47" s="12" t="s">
        <v>314</v>
      </c>
      <c r="D47" t="s">
        <v>324</v>
      </c>
    </row>
    <row r="48" spans="3:7" x14ac:dyDescent="0.3">
      <c r="C48" s="13" t="s">
        <v>22</v>
      </c>
      <c r="D48" s="14">
        <v>0</v>
      </c>
    </row>
    <row r="49" spans="3:7" x14ac:dyDescent="0.3">
      <c r="C49" s="13" t="s">
        <v>26</v>
      </c>
      <c r="D49" s="14">
        <v>1920</v>
      </c>
    </row>
    <row r="50" spans="3:7" x14ac:dyDescent="0.3">
      <c r="C50" s="13" t="s">
        <v>18</v>
      </c>
      <c r="D50" s="14">
        <v>1960</v>
      </c>
    </row>
    <row r="51" spans="3:7" x14ac:dyDescent="0.3">
      <c r="C51" s="13" t="s">
        <v>315</v>
      </c>
      <c r="D51" s="14">
        <v>3880</v>
      </c>
      <c r="G51" s="16">
        <f>GETPIVOTDATA("Minecraft Season Pass Price",$C$47)</f>
        <v>3880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Z38"/>
  <sheetViews>
    <sheetView showGridLines="0" tabSelected="1" zoomScale="80" zoomScaleNormal="80" workbookViewId="0">
      <selection activeCell="V37" sqref="V37"/>
    </sheetView>
  </sheetViews>
  <sheetFormatPr defaultColWidth="0" defaultRowHeight="14.4" zeroHeight="1" x14ac:dyDescent="0.3"/>
  <cols>
    <col min="1" max="1" width="30.21875" style="5" customWidth="1"/>
    <col min="2" max="2" width="3.5546875" style="18" customWidth="1"/>
    <col min="3" max="11" width="8.88671875" style="18" customWidth="1"/>
    <col min="12" max="12" width="6.5546875" style="18" customWidth="1"/>
    <col min="13" max="22" width="8.88671875" style="18" customWidth="1"/>
    <col min="23" max="24" width="8.88671875" hidden="1"/>
    <col min="25" max="25" width="8.6640625" hidden="1"/>
    <col min="27" max="16384" width="8.88671875" hidden="1"/>
  </cols>
  <sheetData>
    <row r="1" spans="1:22" s="13" customFormat="1" ht="54.6" customHeight="1" thickBot="1" x14ac:dyDescent="0.55000000000000004">
      <c r="A1" s="17"/>
      <c r="B1" s="19"/>
      <c r="C1" s="20" t="s">
        <v>325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spans="1:22" ht="15" thickTop="1" x14ac:dyDescent="0.3"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</row>
    <row r="3" spans="1:22" x14ac:dyDescent="0.3"/>
    <row r="4" spans="1:22" x14ac:dyDescent="0.3"/>
    <row r="5" spans="1:22" x14ac:dyDescent="0.3"/>
    <row r="6" spans="1:22" ht="9.75" customHeight="1" x14ac:dyDescent="0.3"/>
    <row r="7" spans="1:22" ht="33" customHeight="1" x14ac:dyDescent="0.3"/>
    <row r="8" spans="1:22" x14ac:dyDescent="0.3"/>
    <row r="9" spans="1:22" x14ac:dyDescent="0.3"/>
    <row r="10" spans="1:22" x14ac:dyDescent="0.3"/>
    <row r="11" spans="1:22" x14ac:dyDescent="0.3"/>
    <row r="12" spans="1:22" x14ac:dyDescent="0.3"/>
    <row r="13" spans="1:22" x14ac:dyDescent="0.3"/>
    <row r="14" spans="1:22" x14ac:dyDescent="0.3"/>
    <row r="15" spans="1:22" x14ac:dyDescent="0.3"/>
    <row r="16" spans="1:22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  <row r="33" x14ac:dyDescent="0.3"/>
    <row r="34" x14ac:dyDescent="0.3"/>
    <row r="35" x14ac:dyDescent="0.3"/>
    <row r="36" x14ac:dyDescent="0.3"/>
    <row r="37" x14ac:dyDescent="0.3"/>
    <row r="38" x14ac:dyDescent="0.3"/>
  </sheetData>
  <mergeCells count="1">
    <mergeCell ref="C1:V1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Milmara Gomes</cp:lastModifiedBy>
  <dcterms:created xsi:type="dcterms:W3CDTF">2024-12-19T13:13:10Z</dcterms:created>
  <dcterms:modified xsi:type="dcterms:W3CDTF">2026-02-14T21:28:23Z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